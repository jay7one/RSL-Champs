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uja\Dropbox\RSL\"/>
    </mc:Choice>
  </mc:AlternateContent>
  <xr:revisionPtr revIDLastSave="0" documentId="13_ncr:1_{B898FC8D-A099-4714-B056-D416C5F10BFE}" xr6:coauthVersionLast="47" xr6:coauthVersionMax="47" xr10:uidLastSave="{00000000-0000-0000-0000-000000000000}"/>
  <bookViews>
    <workbookView xWindow="3528" yWindow="84" windowWidth="36960" windowHeight="15444" activeTab="1" xr2:uid="{6F659CF0-665C-4B0A-9CE1-0C0C34887057}"/>
  </bookViews>
  <sheets>
    <sheet name="Factions" sheetId="5" r:id="rId1"/>
    <sheet name="Hard Conds" sheetId="169" r:id="rId2"/>
    <sheet name="Unique Conds" sheetId="170" r:id="rId3"/>
    <sheet name="Template" sheetId="4" r:id="rId4"/>
    <sheet name="BL" sheetId="142" r:id="rId5"/>
    <sheet name="HE" sheetId="143" r:id="rId6"/>
    <sheet name="SO" sheetId="172" r:id="rId7"/>
    <sheet name="BA" sheetId="173" r:id="rId8"/>
    <sheet name="OT" sheetId="174" r:id="rId9"/>
    <sheet name="LZ" sheetId="175" r:id="rId10"/>
    <sheet name="SW" sheetId="176" r:id="rId11"/>
    <sheet name="OR" sheetId="177" r:id="rId12"/>
    <sheet name="DS" sheetId="178" r:id="rId13"/>
    <sheet name="UH" sheetId="179" r:id="rId14"/>
    <sheet name="DE" sheetId="180" r:id="rId15"/>
    <sheet name="KR" sheetId="181" r:id="rId16"/>
    <sheet name="DW" sheetId="182" r:id="rId17"/>
    <sheet name="SK" sheetId="183" r:id="rId18"/>
    <sheet name="SY" sheetId="184" r:id="rId19"/>
    <sheet name="Faction Rares" sheetId="2" r:id="rId20"/>
  </sheets>
  <functionGroups builtInGroupCount="19"/>
  <externalReferences>
    <externalReference r:id="rId21"/>
    <externalReference r:id="rId22"/>
    <externalReference r:id="rId23"/>
  </externalReferences>
  <definedNames>
    <definedName name="_xleta.IF" hidden="1" xlm="1">#NAME?</definedName>
    <definedName name="_xlpm.sp" hidden="1" xlm="1">#NAME?</definedName>
    <definedName name="_xlpm.x" hidden="1" xlm="1">#NAME?</definedName>
    <definedName name="_xlpm.y" hidden="1" xlm="1">#NAME?</definedName>
    <definedName name="dung_map">#REF!</definedName>
    <definedName name="FromArray_1">_xlfn.ANCHORARRAY(#REF!)</definedName>
    <definedName name="GearTiersTable">#REF!</definedName>
    <definedName name="GT_Map">'[1]GT Map'!$J$1:$K$12</definedName>
    <definedName name="ocr_fn">#REF!</definedName>
    <definedName name="QueryParams">#REF!</definedName>
    <definedName name="ReadStart">#REF!</definedName>
    <definedName name="ShardMap">[2]v_account_keys!$L$17:$M$23</definedName>
    <definedName name="Spcs">#REF!</definedName>
    <definedName name="start_date">[3]Gantt!$R$2</definedName>
    <definedName name="Types">[3]Settings!$A$2:$A$15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70" l="1" a="1"/>
  <c r="A2" i="170" s="1"/>
  <c r="C1" i="184" a="1"/>
  <c r="C1" i="184" s="1"/>
  <c r="C1" i="183" a="1"/>
  <c r="C1" i="183" s="1"/>
  <c r="C1" i="182" a="1"/>
  <c r="C1" i="182" s="1"/>
  <c r="C1" i="181" a="1"/>
  <c r="C1" i="181" s="1"/>
  <c r="C1" i="180" a="1"/>
  <c r="C1" i="180" s="1"/>
  <c r="C1" i="179" a="1"/>
  <c r="C1" i="179" s="1"/>
  <c r="C1" i="178" a="1"/>
  <c r="C1" i="178" s="1"/>
  <c r="C1" i="177" a="1"/>
  <c r="C1" i="177" s="1"/>
  <c r="C1" i="176" a="1"/>
  <c r="C1" i="176" s="1"/>
  <c r="C1" i="175" a="1"/>
  <c r="C1" i="175" s="1"/>
  <c r="C1" i="174" a="1"/>
  <c r="C1" i="174" s="1"/>
  <c r="C1" i="173" a="1"/>
  <c r="C1" i="173" s="1"/>
  <c r="C1" i="172" a="1"/>
  <c r="C1" i="172" s="1"/>
  <c r="C1" i="143" a="1"/>
  <c r="C1" i="143" s="1"/>
  <c r="C1" i="142" a="1"/>
  <c r="C1" i="142" s="1"/>
  <c r="C1" i="4" a="1"/>
  <c r="C1" i="4" s="1"/>
  <c r="O1" i="169"/>
  <c r="N1" i="169"/>
  <c r="M1" i="169"/>
  <c r="D161" i="169"/>
  <c r="D201" i="169"/>
  <c r="D202" i="169"/>
  <c r="D203" i="169"/>
  <c r="D204" i="169"/>
  <c r="D205" i="169"/>
  <c r="D206" i="169"/>
  <c r="D222" i="169"/>
  <c r="D223" i="169"/>
  <c r="D231" i="169"/>
  <c r="D311" i="169"/>
  <c r="D312" i="169"/>
  <c r="D316" i="169"/>
  <c r="D317" i="169"/>
  <c r="D323" i="169"/>
  <c r="D324" i="169"/>
  <c r="D325" i="169"/>
  <c r="C146" i="169"/>
  <c r="D135" i="169"/>
  <c r="D136" i="169"/>
  <c r="C3" i="169"/>
  <c r="D3" i="169" s="1"/>
  <c r="C4" i="169"/>
  <c r="D4" i="169" s="1"/>
  <c r="C5" i="169"/>
  <c r="D5" i="169" s="1"/>
  <c r="C6" i="169"/>
  <c r="D6" i="169" s="1"/>
  <c r="C7" i="169"/>
  <c r="C8" i="169"/>
  <c r="D8" i="169" s="1"/>
  <c r="C9" i="169"/>
  <c r="C10" i="169"/>
  <c r="D10" i="169" s="1"/>
  <c r="C11" i="169"/>
  <c r="D11" i="169" s="1"/>
  <c r="C12" i="169"/>
  <c r="D12" i="169" s="1"/>
  <c r="C13" i="169"/>
  <c r="C14" i="169"/>
  <c r="C15" i="169"/>
  <c r="D15" i="169" s="1"/>
  <c r="C16" i="169"/>
  <c r="C17" i="169"/>
  <c r="C18" i="169"/>
  <c r="C19" i="169"/>
  <c r="C20" i="169"/>
  <c r="C21" i="169"/>
  <c r="C22" i="169"/>
  <c r="C23" i="169"/>
  <c r="C24" i="169"/>
  <c r="C25" i="169"/>
  <c r="D25" i="169" s="1"/>
  <c r="C26" i="169"/>
  <c r="D26" i="169" s="1"/>
  <c r="C27" i="169"/>
  <c r="C28" i="169"/>
  <c r="D28" i="169" s="1"/>
  <c r="C29" i="169"/>
  <c r="C30" i="169"/>
  <c r="D30" i="169" s="1"/>
  <c r="C31" i="169"/>
  <c r="D31" i="169" s="1"/>
  <c r="C32" i="169"/>
  <c r="D32" i="169" s="1"/>
  <c r="C33" i="169"/>
  <c r="C34" i="169"/>
  <c r="C35" i="169"/>
  <c r="C36" i="169"/>
  <c r="D36" i="169" s="1"/>
  <c r="C37" i="169"/>
  <c r="D37" i="169" s="1"/>
  <c r="C38" i="169"/>
  <c r="C39" i="169"/>
  <c r="C40" i="169"/>
  <c r="D40" i="169" s="1"/>
  <c r="C41" i="169"/>
  <c r="D41" i="169" s="1"/>
  <c r="C42" i="169"/>
  <c r="D42" i="169" s="1"/>
  <c r="C43" i="169"/>
  <c r="D43" i="169" s="1"/>
  <c r="C44" i="169"/>
  <c r="C45" i="169"/>
  <c r="C46" i="169"/>
  <c r="D46" i="169" s="1"/>
  <c r="C47" i="169"/>
  <c r="D47" i="169" s="1"/>
  <c r="C48" i="169"/>
  <c r="D48" i="169" s="1"/>
  <c r="C49" i="169"/>
  <c r="C50" i="169"/>
  <c r="D50" i="169" s="1"/>
  <c r="C51" i="169"/>
  <c r="D51" i="169" s="1"/>
  <c r="C52" i="169"/>
  <c r="D52" i="169" s="1"/>
  <c r="C53" i="169"/>
  <c r="C54" i="169"/>
  <c r="C55" i="169"/>
  <c r="D55" i="169" s="1"/>
  <c r="C56" i="169"/>
  <c r="D56" i="169" s="1"/>
  <c r="C57" i="169"/>
  <c r="C58" i="169"/>
  <c r="C59" i="169"/>
  <c r="C60" i="169"/>
  <c r="D60" i="169" s="1"/>
  <c r="C61" i="169"/>
  <c r="D61" i="169" s="1"/>
  <c r="C62" i="169"/>
  <c r="D62" i="169" s="1"/>
  <c r="C63" i="169"/>
  <c r="D63" i="169" s="1"/>
  <c r="C64" i="169"/>
  <c r="D64" i="169" s="1"/>
  <c r="C65" i="169"/>
  <c r="D65" i="169" s="1"/>
  <c r="C66" i="169"/>
  <c r="D66" i="169" s="1"/>
  <c r="C67" i="169"/>
  <c r="C68" i="169"/>
  <c r="C69" i="169"/>
  <c r="D69" i="169" s="1"/>
  <c r="C70" i="169"/>
  <c r="D70" i="169" s="1"/>
  <c r="C71" i="169"/>
  <c r="D71" i="169" s="1"/>
  <c r="C72" i="169"/>
  <c r="D72" i="169" s="1"/>
  <c r="C73" i="169"/>
  <c r="C74" i="169"/>
  <c r="C75" i="169"/>
  <c r="C76" i="169"/>
  <c r="D76" i="169" s="1"/>
  <c r="C77" i="169"/>
  <c r="D77" i="169" s="1"/>
  <c r="C78" i="169"/>
  <c r="D78" i="169" s="1"/>
  <c r="C79" i="169"/>
  <c r="D79" i="169" s="1"/>
  <c r="C80" i="169"/>
  <c r="C81" i="169"/>
  <c r="C82" i="169"/>
  <c r="C83" i="169"/>
  <c r="C84" i="169"/>
  <c r="D84" i="169" s="1"/>
  <c r="C85" i="169"/>
  <c r="D85" i="169" s="1"/>
  <c r="C86" i="169"/>
  <c r="D86" i="169" s="1"/>
  <c r="C87" i="169"/>
  <c r="C88" i="169"/>
  <c r="D88" i="169" s="1"/>
  <c r="C89" i="169"/>
  <c r="C90" i="169"/>
  <c r="D90" i="169" s="1"/>
  <c r="C91" i="169"/>
  <c r="D91" i="169" s="1"/>
  <c r="C92" i="169"/>
  <c r="D92" i="169" s="1"/>
  <c r="C93" i="169"/>
  <c r="C94" i="169"/>
  <c r="C95" i="169"/>
  <c r="C96" i="169"/>
  <c r="D96" i="169" s="1"/>
  <c r="C97" i="169"/>
  <c r="D97" i="169" s="1"/>
  <c r="C98" i="169"/>
  <c r="C99" i="169"/>
  <c r="C100" i="169"/>
  <c r="D100" i="169" s="1"/>
  <c r="C101" i="169"/>
  <c r="D101" i="169" s="1"/>
  <c r="C102" i="169"/>
  <c r="D102" i="169" s="1"/>
  <c r="C103" i="169"/>
  <c r="D103" i="169" s="1"/>
  <c r="C104" i="169"/>
  <c r="C105" i="169"/>
  <c r="C106" i="169"/>
  <c r="C107" i="169"/>
  <c r="C108" i="169"/>
  <c r="D108" i="169" s="1"/>
  <c r="C109" i="169"/>
  <c r="C110" i="169"/>
  <c r="C111" i="169"/>
  <c r="C112" i="169"/>
  <c r="D112" i="169" s="1"/>
  <c r="C113" i="169"/>
  <c r="D113" i="169" s="1"/>
  <c r="C114" i="169"/>
  <c r="D114" i="169" s="1"/>
  <c r="C115" i="169"/>
  <c r="D115" i="169" s="1"/>
  <c r="C116" i="169"/>
  <c r="D116" i="169" s="1"/>
  <c r="C117" i="169"/>
  <c r="D117" i="169" s="1"/>
  <c r="C118" i="169"/>
  <c r="D118" i="169" s="1"/>
  <c r="C119" i="169"/>
  <c r="C120" i="169"/>
  <c r="D120" i="169" s="1"/>
  <c r="C121" i="169"/>
  <c r="D121" i="169" s="1"/>
  <c r="C122" i="169"/>
  <c r="D122" i="169" s="1"/>
  <c r="C123" i="169"/>
  <c r="D123" i="169" s="1"/>
  <c r="C124" i="169"/>
  <c r="D124" i="169" s="1"/>
  <c r="C125" i="169"/>
  <c r="C126" i="169"/>
  <c r="D126" i="169" s="1"/>
  <c r="C127" i="169"/>
  <c r="C128" i="169"/>
  <c r="D128" i="169" s="1"/>
  <c r="C129" i="169"/>
  <c r="C130" i="169"/>
  <c r="D130" i="169" s="1"/>
  <c r="C131" i="169"/>
  <c r="D131" i="169" s="1"/>
  <c r="C132" i="169"/>
  <c r="C133" i="169"/>
  <c r="C134" i="169"/>
  <c r="C135" i="169"/>
  <c r="C136" i="169"/>
  <c r="C137" i="169"/>
  <c r="D137" i="169" s="1"/>
  <c r="C138" i="169"/>
  <c r="D138" i="169" s="1"/>
  <c r="C139" i="169"/>
  <c r="D139" i="169" s="1"/>
  <c r="C140" i="169"/>
  <c r="D140" i="169" s="1"/>
  <c r="C141" i="169"/>
  <c r="C142" i="169"/>
  <c r="C143" i="169"/>
  <c r="D143" i="169" s="1"/>
  <c r="C144" i="169"/>
  <c r="D144" i="169" s="1"/>
  <c r="C145" i="169"/>
  <c r="D145" i="169" s="1"/>
  <c r="C147" i="169"/>
  <c r="C148" i="169"/>
  <c r="C149" i="169"/>
  <c r="D149" i="169" s="1"/>
  <c r="C150" i="169"/>
  <c r="C151" i="169"/>
  <c r="D151" i="169" s="1"/>
  <c r="C152" i="169"/>
  <c r="D152" i="169" s="1"/>
  <c r="C153" i="169"/>
  <c r="D153" i="169" s="1"/>
  <c r="C154" i="169"/>
  <c r="C155" i="169"/>
  <c r="C156" i="169"/>
  <c r="D156" i="169" s="1"/>
  <c r="C157" i="169"/>
  <c r="D157" i="169" s="1"/>
  <c r="C158" i="169"/>
  <c r="D158" i="169" s="1"/>
  <c r="C159" i="169"/>
  <c r="D159" i="169" s="1"/>
  <c r="C160" i="169"/>
  <c r="C161" i="169"/>
  <c r="C162" i="169"/>
  <c r="D162" i="169" s="1"/>
  <c r="C163" i="169"/>
  <c r="D163" i="169" s="1"/>
  <c r="C164" i="169"/>
  <c r="D164" i="169" s="1"/>
  <c r="C165" i="169"/>
  <c r="D165" i="169" s="1"/>
  <c r="C166" i="169"/>
  <c r="D166" i="169" s="1"/>
  <c r="C167" i="169"/>
  <c r="D167" i="169" s="1"/>
  <c r="C168" i="169"/>
  <c r="D168" i="169" s="1"/>
  <c r="C169" i="169"/>
  <c r="D169" i="169" s="1"/>
  <c r="C170" i="169"/>
  <c r="C171" i="169"/>
  <c r="C172" i="169"/>
  <c r="C173" i="169"/>
  <c r="D173" i="169" s="1"/>
  <c r="C174" i="169"/>
  <c r="C175" i="169"/>
  <c r="C176" i="169"/>
  <c r="C177" i="169"/>
  <c r="C178" i="169"/>
  <c r="C179" i="169"/>
  <c r="D179" i="169" s="1"/>
  <c r="C180" i="169"/>
  <c r="D180" i="169" s="1"/>
  <c r="C181" i="169"/>
  <c r="D181" i="169" s="1"/>
  <c r="C182" i="169"/>
  <c r="D182" i="169" s="1"/>
  <c r="C183" i="169"/>
  <c r="D183" i="169" s="1"/>
  <c r="C184" i="169"/>
  <c r="D184" i="169" s="1"/>
  <c r="C185" i="169"/>
  <c r="D185" i="169" s="1"/>
  <c r="C186" i="169"/>
  <c r="D186" i="169" s="1"/>
  <c r="C187" i="169"/>
  <c r="D187" i="169" s="1"/>
  <c r="C188" i="169"/>
  <c r="D188" i="169" s="1"/>
  <c r="C189" i="169"/>
  <c r="D189" i="169" s="1"/>
  <c r="C190" i="169"/>
  <c r="C191" i="169"/>
  <c r="C192" i="169"/>
  <c r="D192" i="169" s="1"/>
  <c r="C193" i="169"/>
  <c r="D193" i="169" s="1"/>
  <c r="C194" i="169"/>
  <c r="C195" i="169"/>
  <c r="D195" i="169" s="1"/>
  <c r="C196" i="169"/>
  <c r="D196" i="169" s="1"/>
  <c r="C197" i="169"/>
  <c r="D197" i="169" s="1"/>
  <c r="C198" i="169"/>
  <c r="C199" i="169"/>
  <c r="D199" i="169" s="1"/>
  <c r="C200" i="169"/>
  <c r="C201" i="169"/>
  <c r="C202" i="169"/>
  <c r="C203" i="169"/>
  <c r="C204" i="169"/>
  <c r="C205" i="169"/>
  <c r="C206" i="169"/>
  <c r="C207" i="169"/>
  <c r="D207" i="169" s="1"/>
  <c r="C208" i="169"/>
  <c r="C209" i="169"/>
  <c r="D209" i="169" s="1"/>
  <c r="C210" i="169"/>
  <c r="C211" i="169"/>
  <c r="D211" i="169" s="1"/>
  <c r="C212" i="169"/>
  <c r="D212" i="169" s="1"/>
  <c r="C213" i="169"/>
  <c r="D213" i="169" s="1"/>
  <c r="C214" i="169"/>
  <c r="C215" i="169"/>
  <c r="D215" i="169" s="1"/>
  <c r="C216" i="169"/>
  <c r="C217" i="169"/>
  <c r="C218" i="169"/>
  <c r="C219" i="169"/>
  <c r="D219" i="169" s="1"/>
  <c r="C220" i="169"/>
  <c r="C221" i="169"/>
  <c r="D221" i="169" s="1"/>
  <c r="C222" i="169"/>
  <c r="C223" i="169"/>
  <c r="C224" i="169"/>
  <c r="D224" i="169" s="1"/>
  <c r="C225" i="169"/>
  <c r="D225" i="169" s="1"/>
  <c r="C226" i="169"/>
  <c r="D226" i="169" s="1"/>
  <c r="C227" i="169"/>
  <c r="D227" i="169" s="1"/>
  <c r="C228" i="169"/>
  <c r="D228" i="169" s="1"/>
  <c r="C229" i="169"/>
  <c r="D229" i="169" s="1"/>
  <c r="C230" i="169"/>
  <c r="C231" i="169"/>
  <c r="C232" i="169"/>
  <c r="D232" i="169" s="1"/>
  <c r="C233" i="169"/>
  <c r="D233" i="169" s="1"/>
  <c r="C234" i="169"/>
  <c r="D234" i="169" s="1"/>
  <c r="C235" i="169"/>
  <c r="C236" i="169"/>
  <c r="C237" i="169"/>
  <c r="D237" i="169" s="1"/>
  <c r="C238" i="169"/>
  <c r="C239" i="169"/>
  <c r="D239" i="169" s="1"/>
  <c r="C240" i="169"/>
  <c r="C241" i="169"/>
  <c r="C242" i="169"/>
  <c r="C243" i="169"/>
  <c r="D243" i="169" s="1"/>
  <c r="C244" i="169"/>
  <c r="C245" i="169"/>
  <c r="D245" i="169" s="1"/>
  <c r="C246" i="169"/>
  <c r="D246" i="169" s="1"/>
  <c r="C247" i="169"/>
  <c r="D247" i="169" s="1"/>
  <c r="C248" i="169"/>
  <c r="D248" i="169" s="1"/>
  <c r="C249" i="169"/>
  <c r="D249" i="169" s="1"/>
  <c r="C250" i="169"/>
  <c r="C251" i="169"/>
  <c r="D251" i="169" s="1"/>
  <c r="C252" i="169"/>
  <c r="D252" i="169" s="1"/>
  <c r="C253" i="169"/>
  <c r="D253" i="169" s="1"/>
  <c r="C254" i="169"/>
  <c r="C255" i="169"/>
  <c r="D255" i="169" s="1"/>
  <c r="C256" i="169"/>
  <c r="C257" i="169"/>
  <c r="D257" i="169" s="1"/>
  <c r="C258" i="169"/>
  <c r="D258" i="169" s="1"/>
  <c r="C259" i="169"/>
  <c r="C260" i="169"/>
  <c r="C261" i="169"/>
  <c r="C262" i="169"/>
  <c r="C263" i="169"/>
  <c r="D263" i="169" s="1"/>
  <c r="C264" i="169"/>
  <c r="C265" i="169"/>
  <c r="C266" i="169"/>
  <c r="C267" i="169"/>
  <c r="D267" i="169" s="1"/>
  <c r="C268" i="169"/>
  <c r="D268" i="169" s="1"/>
  <c r="C269" i="169"/>
  <c r="D269" i="169" s="1"/>
  <c r="C270" i="169"/>
  <c r="C271" i="169"/>
  <c r="D271" i="169" s="1"/>
  <c r="C272" i="169"/>
  <c r="D272" i="169" s="1"/>
  <c r="C273" i="169"/>
  <c r="D273" i="169" s="1"/>
  <c r="C274" i="169"/>
  <c r="C275" i="169"/>
  <c r="D275" i="169" s="1"/>
  <c r="C276" i="169"/>
  <c r="C277" i="169"/>
  <c r="D277" i="169" s="1"/>
  <c r="C278" i="169"/>
  <c r="D278" i="169" s="1"/>
  <c r="C279" i="169"/>
  <c r="D279" i="169" s="1"/>
  <c r="C280" i="169"/>
  <c r="C281" i="169"/>
  <c r="D281" i="169" s="1"/>
  <c r="C282" i="169"/>
  <c r="C283" i="169"/>
  <c r="D283" i="169" s="1"/>
  <c r="C284" i="169"/>
  <c r="D284" i="169" s="1"/>
  <c r="C285" i="169"/>
  <c r="D285" i="169" s="1"/>
  <c r="C286" i="169"/>
  <c r="C287" i="169"/>
  <c r="C288" i="169"/>
  <c r="C289" i="169"/>
  <c r="D289" i="169" s="1"/>
  <c r="C290" i="169"/>
  <c r="D290" i="169" s="1"/>
  <c r="C291" i="169"/>
  <c r="D291" i="169" s="1"/>
  <c r="C292" i="169"/>
  <c r="D292" i="169" s="1"/>
  <c r="C293" i="169"/>
  <c r="D293" i="169" s="1"/>
  <c r="C294" i="169"/>
  <c r="C295" i="169"/>
  <c r="D295" i="169" s="1"/>
  <c r="C296" i="169"/>
  <c r="C297" i="169"/>
  <c r="D297" i="169" s="1"/>
  <c r="C298" i="169"/>
  <c r="D298" i="169" s="1"/>
  <c r="C299" i="169"/>
  <c r="C300" i="169"/>
  <c r="C301" i="169"/>
  <c r="D301" i="169" s="1"/>
  <c r="C302" i="169"/>
  <c r="D302" i="169" s="1"/>
  <c r="C303" i="169"/>
  <c r="D303" i="169" s="1"/>
  <c r="C304" i="169"/>
  <c r="C305" i="169"/>
  <c r="C306" i="169"/>
  <c r="D306" i="169" s="1"/>
  <c r="C307" i="169"/>
  <c r="C308" i="169"/>
  <c r="C309" i="169"/>
  <c r="D309" i="169" s="1"/>
  <c r="C310" i="169"/>
  <c r="C311" i="169"/>
  <c r="C312" i="169"/>
  <c r="C313" i="169"/>
  <c r="D313" i="169" s="1"/>
  <c r="C314" i="169"/>
  <c r="C315" i="169"/>
  <c r="C316" i="169"/>
  <c r="C317" i="169"/>
  <c r="C318" i="169"/>
  <c r="D318" i="169" s="1"/>
  <c r="C319" i="169"/>
  <c r="D319" i="169" s="1"/>
  <c r="C320" i="169"/>
  <c r="D320" i="169" s="1"/>
  <c r="C321" i="169"/>
  <c r="D321" i="169" s="1"/>
  <c r="C322" i="169"/>
  <c r="D322" i="169" s="1"/>
  <c r="C323" i="169"/>
  <c r="C324" i="169"/>
  <c r="C325" i="169"/>
  <c r="C326" i="169"/>
  <c r="D326" i="169" s="1"/>
  <c r="C327" i="169"/>
  <c r="D327" i="169" s="1"/>
  <c r="C328" i="169"/>
  <c r="D328" i="169" s="1"/>
  <c r="C329" i="169"/>
  <c r="D329" i="169" s="1"/>
  <c r="C330" i="169"/>
  <c r="C331" i="169"/>
  <c r="D331" i="169" s="1"/>
  <c r="C332" i="169"/>
  <c r="D332" i="169" s="1"/>
  <c r="C2" i="169"/>
  <c r="D2" i="169" s="1"/>
  <c r="B2" i="169"/>
  <c r="B3" i="169" s="1"/>
  <c r="B4" i="169" s="1"/>
  <c r="B5" i="169" s="1"/>
  <c r="B6" i="169" s="1"/>
  <c r="B7" i="169" s="1"/>
  <c r="B8" i="169" s="1"/>
  <c r="B9" i="169" s="1"/>
  <c r="B10" i="169" s="1"/>
  <c r="B11" i="169" s="1"/>
  <c r="B12" i="169" s="1"/>
  <c r="B13" i="169" s="1"/>
  <c r="B14" i="169" s="1"/>
  <c r="B15" i="169" s="1"/>
  <c r="B16" i="169" s="1"/>
  <c r="B17" i="169" s="1"/>
  <c r="B18" i="169" s="1"/>
  <c r="B19" i="169" s="1"/>
  <c r="B20" i="169" s="1"/>
  <c r="B21" i="169" s="1"/>
  <c r="B22" i="169" s="1"/>
  <c r="B23" i="169" s="1"/>
  <c r="B24" i="169" s="1"/>
  <c r="B25" i="169" s="1"/>
  <c r="B26" i="169" s="1"/>
  <c r="B27" i="169" s="1"/>
  <c r="B28" i="169" s="1"/>
  <c r="B29" i="169" s="1"/>
  <c r="B30" i="169" s="1"/>
  <c r="B31" i="169" s="1"/>
  <c r="B32" i="169" s="1"/>
  <c r="B33" i="169" s="1"/>
  <c r="B34" i="169" s="1"/>
  <c r="B35" i="169" s="1"/>
  <c r="B36" i="169" s="1"/>
  <c r="B37" i="169" s="1"/>
  <c r="B38" i="169" s="1"/>
  <c r="B39" i="169" s="1"/>
  <c r="B40" i="169" s="1"/>
  <c r="B41" i="169" s="1"/>
  <c r="B42" i="169" s="1"/>
  <c r="B43" i="169" s="1"/>
  <c r="B44" i="169" s="1"/>
  <c r="B45" i="169" s="1"/>
  <c r="B46" i="169" s="1"/>
  <c r="B47" i="169" s="1"/>
  <c r="B48" i="169" s="1"/>
  <c r="B49" i="169" s="1"/>
  <c r="B50" i="169" s="1"/>
  <c r="B51" i="169" s="1"/>
  <c r="B52" i="169" s="1"/>
  <c r="B53" i="169" s="1"/>
  <c r="B54" i="169" s="1"/>
  <c r="B55" i="169" s="1"/>
  <c r="B56" i="169" s="1"/>
  <c r="B57" i="169" s="1"/>
  <c r="B58" i="169" s="1"/>
  <c r="B59" i="169" s="1"/>
  <c r="B60" i="169" s="1"/>
  <c r="B61" i="169" s="1"/>
  <c r="B62" i="169" s="1"/>
  <c r="B63" i="169" s="1"/>
  <c r="B64" i="169" s="1"/>
  <c r="B65" i="169" s="1"/>
  <c r="B66" i="169" s="1"/>
  <c r="B67" i="169" s="1"/>
  <c r="B68" i="169" s="1"/>
  <c r="B69" i="169" s="1"/>
  <c r="B70" i="169" s="1"/>
  <c r="B71" i="169" s="1"/>
  <c r="B72" i="169" s="1"/>
  <c r="B73" i="169" s="1"/>
  <c r="B74" i="169" s="1"/>
  <c r="B75" i="169" s="1"/>
  <c r="B76" i="169" s="1"/>
  <c r="B77" i="169" s="1"/>
  <c r="B78" i="169" s="1"/>
  <c r="B79" i="169" s="1"/>
  <c r="B80" i="169" s="1"/>
  <c r="B81" i="169" s="1"/>
  <c r="B82" i="169" s="1"/>
  <c r="B83" i="169" s="1"/>
  <c r="B84" i="169" s="1"/>
  <c r="B85" i="169" s="1"/>
  <c r="B86" i="169" s="1"/>
  <c r="B87" i="169" s="1"/>
  <c r="B88" i="169" s="1"/>
  <c r="B89" i="169" s="1"/>
  <c r="B90" i="169" s="1"/>
  <c r="B91" i="169" s="1"/>
  <c r="B92" i="169" s="1"/>
  <c r="B93" i="169" s="1"/>
  <c r="B94" i="169" s="1"/>
  <c r="B95" i="169" s="1"/>
  <c r="B96" i="169" s="1"/>
  <c r="B97" i="169" s="1"/>
  <c r="B98" i="169" s="1"/>
  <c r="B99" i="169" s="1"/>
  <c r="B100" i="169" s="1"/>
  <c r="B101" i="169" s="1"/>
  <c r="B102" i="169" s="1"/>
  <c r="B103" i="169" s="1"/>
  <c r="B104" i="169" s="1"/>
  <c r="B105" i="169" s="1"/>
  <c r="B106" i="169" s="1"/>
  <c r="B107" i="169" s="1"/>
  <c r="B108" i="169" s="1"/>
  <c r="B109" i="169" s="1"/>
  <c r="B110" i="169" s="1"/>
  <c r="B111" i="169" s="1"/>
  <c r="B112" i="169" s="1"/>
  <c r="B113" i="169" s="1"/>
  <c r="B114" i="169" s="1"/>
  <c r="B115" i="169" s="1"/>
  <c r="B116" i="169" s="1"/>
  <c r="B117" i="169" s="1"/>
  <c r="B118" i="169" s="1"/>
  <c r="B119" i="169" s="1"/>
  <c r="B120" i="169" s="1"/>
  <c r="B121" i="169" s="1"/>
  <c r="B122" i="169" s="1"/>
  <c r="B123" i="169" s="1"/>
  <c r="B124" i="169" s="1"/>
  <c r="B125" i="169" s="1"/>
  <c r="B126" i="169" s="1"/>
  <c r="B127" i="169" s="1"/>
  <c r="B128" i="169" s="1"/>
  <c r="B129" i="169" s="1"/>
  <c r="B130" i="169" s="1"/>
  <c r="B131" i="169" s="1"/>
  <c r="B132" i="169" s="1"/>
  <c r="B133" i="169" s="1"/>
  <c r="B134" i="169" s="1"/>
  <c r="B135" i="169" s="1"/>
  <c r="B136" i="169" s="1"/>
  <c r="B137" i="169" s="1"/>
  <c r="B138" i="169" s="1"/>
  <c r="B139" i="169" s="1"/>
  <c r="B140" i="169" s="1"/>
  <c r="B141" i="169" s="1"/>
  <c r="B142" i="169" s="1"/>
  <c r="B143" i="169" s="1"/>
  <c r="B144" i="169" s="1"/>
  <c r="B145" i="169" s="1"/>
  <c r="B147" i="169" s="1"/>
  <c r="B148" i="169" s="1"/>
  <c r="B149" i="169" s="1"/>
  <c r="B150" i="169" s="1"/>
  <c r="B151" i="169" s="1"/>
  <c r="B152" i="169" s="1"/>
  <c r="B153" i="169" s="1"/>
  <c r="B154" i="169" s="1"/>
  <c r="B155" i="169" s="1"/>
  <c r="B156" i="169" s="1"/>
  <c r="B157" i="169" s="1"/>
  <c r="B158" i="169" s="1"/>
  <c r="B159" i="169" s="1"/>
  <c r="B160" i="169" s="1"/>
  <c r="B161" i="169" s="1"/>
  <c r="B162" i="169" s="1"/>
  <c r="B163" i="169" s="1"/>
  <c r="B164" i="169" s="1"/>
  <c r="B165" i="169" s="1"/>
  <c r="B166" i="169" s="1"/>
  <c r="B167" i="169" s="1"/>
  <c r="B168" i="169" s="1"/>
  <c r="B169" i="169" s="1"/>
  <c r="B170" i="169" s="1"/>
  <c r="B171" i="169" s="1"/>
  <c r="B172" i="169" s="1"/>
  <c r="B173" i="169" s="1"/>
  <c r="B174" i="169" s="1"/>
  <c r="B175" i="169" s="1"/>
  <c r="B176" i="169" s="1"/>
  <c r="B177" i="169" s="1"/>
  <c r="B178" i="169" s="1"/>
  <c r="B179" i="169" s="1"/>
  <c r="B180" i="169" s="1"/>
  <c r="B181" i="169" s="1"/>
  <c r="B182" i="169" s="1"/>
  <c r="B183" i="169" s="1"/>
  <c r="B184" i="169" s="1"/>
  <c r="B185" i="169" s="1"/>
  <c r="B186" i="169" s="1"/>
  <c r="B187" i="169" s="1"/>
  <c r="B188" i="169" s="1"/>
  <c r="B189" i="169" s="1"/>
  <c r="B190" i="169" s="1"/>
  <c r="B191" i="169" s="1"/>
  <c r="B192" i="169" s="1"/>
  <c r="B193" i="169" s="1"/>
  <c r="B194" i="169" s="1"/>
  <c r="B195" i="169" s="1"/>
  <c r="B196" i="169" s="1"/>
  <c r="B197" i="169" s="1"/>
  <c r="B198" i="169" s="1"/>
  <c r="B199" i="169" s="1"/>
  <c r="B200" i="169" s="1"/>
  <c r="B201" i="169" s="1"/>
  <c r="B202" i="169" s="1"/>
  <c r="B203" i="169" s="1"/>
  <c r="B204" i="169" s="1"/>
  <c r="B205" i="169" s="1"/>
  <c r="B206" i="169" s="1"/>
  <c r="B207" i="169" s="1"/>
  <c r="B208" i="169" s="1"/>
  <c r="B209" i="169" s="1"/>
  <c r="B210" i="169" s="1"/>
  <c r="B211" i="169" s="1"/>
  <c r="B212" i="169" s="1"/>
  <c r="B213" i="169" s="1"/>
  <c r="B214" i="169" s="1"/>
  <c r="B215" i="169" s="1"/>
  <c r="B216" i="169" s="1"/>
  <c r="B217" i="169" s="1"/>
  <c r="B218" i="169" s="1"/>
  <c r="B219" i="169" s="1"/>
  <c r="B220" i="169" s="1"/>
  <c r="B221" i="169" s="1"/>
  <c r="B222" i="169" s="1"/>
  <c r="B223" i="169" s="1"/>
  <c r="B224" i="169" s="1"/>
  <c r="B225" i="169" s="1"/>
  <c r="B226" i="169" s="1"/>
  <c r="B227" i="169" s="1"/>
  <c r="B228" i="169" s="1"/>
  <c r="B229" i="169" s="1"/>
  <c r="B230" i="169" s="1"/>
  <c r="B231" i="169" s="1"/>
  <c r="B232" i="169" s="1"/>
  <c r="B233" i="169" s="1"/>
  <c r="B234" i="169" s="1"/>
  <c r="B235" i="169" s="1"/>
  <c r="B236" i="169" s="1"/>
  <c r="B237" i="169" s="1"/>
  <c r="B238" i="169" s="1"/>
  <c r="B239" i="169" s="1"/>
  <c r="B240" i="169" s="1"/>
  <c r="B241" i="169" s="1"/>
  <c r="B242" i="169" s="1"/>
  <c r="B243" i="169" s="1"/>
  <c r="B244" i="169" s="1"/>
  <c r="B245" i="169" s="1"/>
  <c r="B246" i="169" s="1"/>
  <c r="B247" i="169" s="1"/>
  <c r="B248" i="169" s="1"/>
  <c r="B249" i="169" s="1"/>
  <c r="B250" i="169" s="1"/>
  <c r="B251" i="169" s="1"/>
  <c r="B252" i="169" s="1"/>
  <c r="B253" i="169" s="1"/>
  <c r="B254" i="169" s="1"/>
  <c r="B255" i="169" s="1"/>
  <c r="B256" i="169" s="1"/>
  <c r="B257" i="169" s="1"/>
  <c r="B258" i="169" s="1"/>
  <c r="B259" i="169" s="1"/>
  <c r="B260" i="169" s="1"/>
  <c r="B261" i="169" s="1"/>
  <c r="B262" i="169" s="1"/>
  <c r="B263" i="169" s="1"/>
  <c r="B264" i="169" s="1"/>
  <c r="B265" i="169" s="1"/>
  <c r="B266" i="169" s="1"/>
  <c r="B267" i="169" s="1"/>
  <c r="B268" i="169" s="1"/>
  <c r="B269" i="169" s="1"/>
  <c r="B270" i="169" s="1"/>
  <c r="B271" i="169" s="1"/>
  <c r="B272" i="169" s="1"/>
  <c r="B273" i="169" s="1"/>
  <c r="B274" i="169" s="1"/>
  <c r="B275" i="169" s="1"/>
  <c r="B276" i="169" s="1"/>
  <c r="B277" i="169" s="1"/>
  <c r="B278" i="169" s="1"/>
  <c r="B279" i="169" s="1"/>
  <c r="B280" i="169" s="1"/>
  <c r="B281" i="169" s="1"/>
  <c r="B282" i="169" s="1"/>
  <c r="B283" i="169" s="1"/>
  <c r="B284" i="169" s="1"/>
  <c r="B285" i="169" s="1"/>
  <c r="B286" i="169" s="1"/>
  <c r="B287" i="169" s="1"/>
  <c r="B288" i="169" s="1"/>
  <c r="B289" i="169" s="1"/>
  <c r="B290" i="169" s="1"/>
  <c r="B291" i="169" s="1"/>
  <c r="B292" i="169" s="1"/>
  <c r="B293" i="169" s="1"/>
  <c r="B294" i="169" s="1"/>
  <c r="B295" i="169" s="1"/>
  <c r="B296" i="169" s="1"/>
  <c r="B297" i="169" s="1"/>
  <c r="B298" i="169" s="1"/>
  <c r="B299" i="169" s="1"/>
  <c r="B300" i="169" s="1"/>
  <c r="B301" i="169" s="1"/>
  <c r="B302" i="169" s="1"/>
  <c r="B303" i="169" s="1"/>
  <c r="B304" i="169" s="1"/>
  <c r="B305" i="169" s="1"/>
  <c r="B306" i="169" s="1"/>
  <c r="B307" i="169" s="1"/>
  <c r="B308" i="169" s="1"/>
  <c r="B309" i="169" s="1"/>
  <c r="B310" i="169" s="1"/>
  <c r="B311" i="169" s="1"/>
  <c r="B312" i="169" s="1"/>
  <c r="B313" i="169" s="1"/>
  <c r="B314" i="169" s="1"/>
  <c r="B315" i="169" s="1"/>
  <c r="B316" i="169" s="1"/>
  <c r="B317" i="169" s="1"/>
  <c r="B318" i="169" s="1"/>
  <c r="B319" i="169" s="1"/>
  <c r="B320" i="169" s="1"/>
  <c r="B321" i="169" s="1"/>
  <c r="B322" i="169" s="1"/>
  <c r="B323" i="169" s="1"/>
  <c r="B324" i="169" s="1"/>
  <c r="B325" i="169" s="1"/>
  <c r="B326" i="169" s="1"/>
  <c r="B327" i="169" s="1"/>
  <c r="B328" i="169" s="1"/>
  <c r="B329" i="169" s="1"/>
  <c r="B330" i="169" s="1"/>
  <c r="B331" i="169" s="1"/>
  <c r="B332" i="169" s="1"/>
  <c r="E11" i="142"/>
  <c r="D17" i="143"/>
  <c r="E16" i="143"/>
  <c r="D16" i="143"/>
  <c r="E14" i="143"/>
  <c r="E12" i="143"/>
  <c r="D13" i="143"/>
  <c r="E11" i="143"/>
  <c r="E15" i="142"/>
  <c r="E12" i="142"/>
  <c r="D22" i="169" l="1"/>
  <c r="D262" i="169"/>
  <c r="D300" i="169"/>
  <c r="D260" i="169"/>
  <c r="D99" i="169"/>
  <c r="D59" i="169"/>
  <c r="D39" i="169"/>
  <c r="D296" i="169"/>
  <c r="D276" i="169"/>
  <c r="D95" i="169"/>
  <c r="D175" i="169"/>
  <c r="D294" i="169"/>
  <c r="D274" i="169"/>
  <c r="D254" i="169"/>
  <c r="D73" i="169"/>
  <c r="D13" i="169"/>
  <c r="D308" i="169"/>
  <c r="D310" i="169"/>
  <c r="D270" i="169"/>
  <c r="D250" i="169"/>
  <c r="D210" i="169"/>
  <c r="D190" i="169"/>
  <c r="D170" i="169"/>
  <c r="D150" i="169"/>
  <c r="D129" i="169"/>
  <c r="D109" i="169"/>
  <c r="D89" i="169"/>
  <c r="D49" i="169"/>
  <c r="D29" i="169"/>
  <c r="D9" i="169"/>
  <c r="D178" i="169"/>
  <c r="D155" i="169"/>
  <c r="D54" i="169"/>
  <c r="D127" i="169"/>
  <c r="D67" i="169"/>
  <c r="D27" i="169"/>
  <c r="D7" i="169"/>
  <c r="D17" i="169"/>
  <c r="D236" i="169"/>
  <c r="D315" i="169"/>
  <c r="D299" i="169"/>
  <c r="D305" i="169"/>
  <c r="D23" i="169"/>
  <c r="D218" i="169"/>
  <c r="D172" i="169"/>
  <c r="D18" i="169"/>
  <c r="D35" i="169"/>
  <c r="D94" i="169"/>
  <c r="D160" i="169"/>
  <c r="D147" i="169"/>
  <c r="D141" i="169"/>
  <c r="D81" i="169"/>
  <c r="D16" i="169"/>
  <c r="D75" i="169"/>
  <c r="D280" i="169"/>
  <c r="D80" i="169"/>
  <c r="D19" i="169"/>
  <c r="D34" i="169"/>
  <c r="D119" i="169"/>
  <c r="D57" i="169"/>
  <c r="D235" i="169"/>
  <c r="D214" i="169"/>
  <c r="D287" i="169"/>
  <c r="D266" i="169"/>
  <c r="D45" i="169"/>
  <c r="D259" i="169"/>
  <c r="D216" i="169"/>
  <c r="D265" i="169"/>
  <c r="D24" i="169"/>
  <c r="D208" i="169"/>
  <c r="D38" i="169"/>
  <c r="D148" i="169"/>
  <c r="D142" i="169"/>
  <c r="D282" i="169"/>
  <c r="D256" i="169"/>
  <c r="D230" i="169"/>
  <c r="D82" i="169"/>
  <c r="D238" i="169"/>
  <c r="D242" i="169"/>
  <c r="D134" i="169"/>
  <c r="D98" i="169"/>
  <c r="D191" i="169"/>
  <c r="D125" i="169"/>
  <c r="D314" i="169"/>
  <c r="D177" i="169"/>
  <c r="D244" i="169"/>
  <c r="D68" i="169"/>
  <c r="D21" i="169"/>
  <c r="D132" i="169"/>
  <c r="D200" i="169"/>
  <c r="D176" i="169"/>
  <c r="D220" i="169"/>
  <c r="D198" i="169"/>
  <c r="D330" i="169"/>
  <c r="D286" i="169"/>
  <c r="D288" i="169"/>
  <c r="D264" i="169"/>
  <c r="D307" i="169"/>
  <c r="D44" i="169"/>
  <c r="D110" i="169"/>
  <c r="D107" i="169"/>
  <c r="D87" i="169"/>
  <c r="D83" i="169"/>
  <c r="D304" i="169"/>
  <c r="D194" i="169"/>
  <c r="D171" i="169"/>
  <c r="D111" i="169"/>
  <c r="D104" i="169"/>
  <c r="D20" i="169"/>
  <c r="D261" i="169"/>
  <c r="D240" i="169"/>
  <c r="D241" i="169"/>
  <c r="D217" i="169"/>
  <c r="D174" i="169"/>
  <c r="D146" i="169"/>
  <c r="D154" i="169"/>
  <c r="D106" i="169"/>
  <c r="D105" i="169"/>
  <c r="D58" i="169"/>
  <c r="B146" i="169"/>
  <c r="D74" i="169"/>
  <c r="D14" i="169"/>
  <c r="D133" i="169"/>
  <c r="D93" i="169"/>
  <c r="D53" i="169"/>
  <c r="D33" i="169"/>
  <c r="G2" i="169" l="1" a="1"/>
  <c r="G2" i="169" s="1"/>
  <c r="O2" i="169" s="1"/>
  <c r="M27" i="169" l="1"/>
  <c r="O40" i="169"/>
  <c r="M221" i="169"/>
  <c r="N139" i="169"/>
  <c r="M241" i="169"/>
  <c r="M57" i="169"/>
  <c r="N120" i="169"/>
  <c r="N6" i="169"/>
  <c r="N215" i="169"/>
  <c r="O44" i="169"/>
  <c r="N214" i="169"/>
  <c r="N293" i="169"/>
  <c r="N149" i="169"/>
  <c r="N29" i="169"/>
  <c r="M69" i="169"/>
  <c r="M165" i="169"/>
  <c r="L165" i="169" s="1"/>
  <c r="O205" i="169"/>
  <c r="M246" i="169"/>
  <c r="L246" i="169" s="1"/>
  <c r="O138" i="169"/>
  <c r="O239" i="169"/>
  <c r="N259" i="169"/>
  <c r="M162" i="169"/>
  <c r="N94" i="169"/>
  <c r="N245" i="169"/>
  <c r="O296" i="169"/>
  <c r="O113" i="169"/>
  <c r="N118" i="169"/>
  <c r="M259" i="169"/>
  <c r="L259" i="169" s="1"/>
  <c r="N71" i="169"/>
  <c r="N52" i="169"/>
  <c r="M122" i="169"/>
  <c r="O32" i="169"/>
  <c r="M266" i="169"/>
  <c r="O98" i="169"/>
  <c r="O119" i="169"/>
  <c r="N177" i="169"/>
  <c r="O57" i="169"/>
  <c r="M24" i="169"/>
  <c r="L24" i="169" s="1"/>
  <c r="O250" i="169"/>
  <c r="M82" i="169"/>
  <c r="L82" i="169" s="1"/>
  <c r="N133" i="169"/>
  <c r="N196" i="169"/>
  <c r="M103" i="169"/>
  <c r="N206" i="169"/>
  <c r="N124" i="169"/>
  <c r="M79" i="169"/>
  <c r="N225" i="169"/>
  <c r="O79" i="169"/>
  <c r="N128" i="169"/>
  <c r="O162" i="169"/>
  <c r="M67" i="169"/>
  <c r="M124" i="169"/>
  <c r="N62" i="169"/>
  <c r="O19" i="169"/>
  <c r="M50" i="169"/>
  <c r="L50" i="169" s="1"/>
  <c r="M270" i="169"/>
  <c r="L270" i="169" s="1"/>
  <c r="M217" i="169"/>
  <c r="L217" i="169" s="1"/>
  <c r="O289" i="169"/>
  <c r="M289" i="169"/>
  <c r="L289" i="169" s="1"/>
  <c r="N101" i="169"/>
  <c r="O21" i="169"/>
  <c r="M98" i="169"/>
  <c r="N73" i="169"/>
  <c r="O178" i="169"/>
  <c r="M105" i="169"/>
  <c r="M128" i="169"/>
  <c r="L128" i="169" s="1"/>
  <c r="N234" i="169"/>
  <c r="M298" i="169"/>
  <c r="O196" i="169"/>
  <c r="O84" i="169"/>
  <c r="N187" i="169"/>
  <c r="N197" i="169"/>
  <c r="M72" i="169"/>
  <c r="O171" i="169"/>
  <c r="O157" i="169"/>
  <c r="M22" i="169"/>
  <c r="L22" i="169" s="1"/>
  <c r="O245" i="169"/>
  <c r="N205" i="169"/>
  <c r="N253" i="169"/>
  <c r="M89" i="169"/>
  <c r="L89" i="169" s="1"/>
  <c r="M182" i="169"/>
  <c r="O176" i="169"/>
  <c r="M269" i="169"/>
  <c r="O262" i="169"/>
  <c r="N138" i="169"/>
  <c r="M73" i="169"/>
  <c r="L73" i="169" s="1"/>
  <c r="O161" i="169"/>
  <c r="M212" i="169"/>
  <c r="N142" i="169"/>
  <c r="M76" i="169"/>
  <c r="N4" i="169"/>
  <c r="N95" i="169"/>
  <c r="M290" i="169"/>
  <c r="M227" i="169"/>
  <c r="O269" i="169"/>
  <c r="M11" i="169"/>
  <c r="L11" i="169" s="1"/>
  <c r="N271" i="169"/>
  <c r="O200" i="169"/>
  <c r="M211" i="169"/>
  <c r="L211" i="169" s="1"/>
  <c r="M256" i="169"/>
  <c r="L256" i="169" s="1"/>
  <c r="M231" i="169"/>
  <c r="M140" i="169"/>
  <c r="O34" i="169"/>
  <c r="N209" i="169"/>
  <c r="M84" i="169"/>
  <c r="O47" i="169"/>
  <c r="O160" i="169"/>
  <c r="O7" i="169"/>
  <c r="M183" i="169"/>
  <c r="O110" i="169"/>
  <c r="N275" i="169"/>
  <c r="O151" i="169"/>
  <c r="O115" i="169"/>
  <c r="O131" i="169"/>
  <c r="N63" i="169"/>
  <c r="O225" i="169"/>
  <c r="N79" i="169"/>
  <c r="O133" i="169"/>
  <c r="N112" i="169"/>
  <c r="N81" i="169"/>
  <c r="N223" i="169"/>
  <c r="O135" i="169"/>
  <c r="O73" i="169"/>
  <c r="O78" i="169"/>
  <c r="N25" i="169"/>
  <c r="N134" i="169"/>
  <c r="N160" i="169"/>
  <c r="N93" i="169"/>
  <c r="N19" i="169"/>
  <c r="N145" i="169"/>
  <c r="O286" i="169"/>
  <c r="M237" i="169"/>
  <c r="O249" i="169"/>
  <c r="M21" i="169"/>
  <c r="N281" i="169"/>
  <c r="O218" i="169"/>
  <c r="O280" i="169"/>
  <c r="M66" i="169"/>
  <c r="L66" i="169" s="1"/>
  <c r="O120" i="169"/>
  <c r="O12" i="169"/>
  <c r="M42" i="169"/>
  <c r="N167" i="169"/>
  <c r="N135" i="169"/>
  <c r="O14" i="169"/>
  <c r="N195" i="169"/>
  <c r="O64" i="169"/>
  <c r="N34" i="169"/>
  <c r="N255" i="169"/>
  <c r="O24" i="169"/>
  <c r="M203" i="169"/>
  <c r="O265" i="169"/>
  <c r="O260" i="169"/>
  <c r="N219" i="169"/>
  <c r="O111" i="169"/>
  <c r="M143" i="169"/>
  <c r="L143" i="169" s="1"/>
  <c r="N108" i="169"/>
  <c r="N279" i="169"/>
  <c r="O93" i="169"/>
  <c r="O107" i="169"/>
  <c r="M279" i="169"/>
  <c r="L279" i="169" s="1"/>
  <c r="O158" i="169"/>
  <c r="M135" i="169"/>
  <c r="M180" i="169"/>
  <c r="N110" i="169"/>
  <c r="N33" i="169"/>
  <c r="N204" i="169"/>
  <c r="O246" i="169"/>
  <c r="M247" i="169"/>
  <c r="O229" i="169"/>
  <c r="M31" i="169"/>
  <c r="N291" i="169"/>
  <c r="M233" i="169"/>
  <c r="L233" i="169" s="1"/>
  <c r="O52" i="169"/>
  <c r="M108" i="169"/>
  <c r="N193" i="169"/>
  <c r="M83" i="169"/>
  <c r="L83" i="169" s="1"/>
  <c r="N273" i="169"/>
  <c r="M100" i="169"/>
  <c r="L100" i="169" s="1"/>
  <c r="O276" i="169"/>
  <c r="O290" i="169"/>
  <c r="M144" i="169"/>
  <c r="O270" i="169"/>
  <c r="M163" i="169"/>
  <c r="N16" i="169"/>
  <c r="N84" i="169"/>
  <c r="N186" i="169"/>
  <c r="M59" i="169"/>
  <c r="N64" i="169"/>
  <c r="N173" i="169"/>
  <c r="N216" i="169"/>
  <c r="N239" i="169"/>
  <c r="M225" i="169"/>
  <c r="N72" i="169"/>
  <c r="N265" i="169"/>
  <c r="N9" i="169"/>
  <c r="N91" i="169"/>
  <c r="M154" i="169"/>
  <c r="L154" i="169" s="1"/>
  <c r="M272" i="169"/>
  <c r="L272" i="169" s="1"/>
  <c r="M300" i="169"/>
  <c r="L300" i="169" s="1"/>
  <c r="N222" i="169"/>
  <c r="N129" i="169"/>
  <c r="M96" i="169"/>
  <c r="M236" i="169"/>
  <c r="O72" i="169"/>
  <c r="M88" i="169"/>
  <c r="M41" i="169"/>
  <c r="N301" i="169"/>
  <c r="M37" i="169"/>
  <c r="O199" i="169"/>
  <c r="M200" i="169"/>
  <c r="N295" i="169"/>
  <c r="N294" i="169"/>
  <c r="M126" i="169"/>
  <c r="M205" i="169"/>
  <c r="M115" i="169"/>
  <c r="L115" i="169" s="1"/>
  <c r="O16" i="169"/>
  <c r="M276" i="169"/>
  <c r="L276" i="169" s="1"/>
  <c r="N226" i="169"/>
  <c r="M257" i="169"/>
  <c r="L257" i="169" s="1"/>
  <c r="N207" i="169"/>
  <c r="O209" i="169"/>
  <c r="O230" i="169"/>
  <c r="M299" i="169"/>
  <c r="M251" i="169"/>
  <c r="O283" i="169"/>
  <c r="M102" i="169"/>
  <c r="N152" i="169"/>
  <c r="M274" i="169"/>
  <c r="M220" i="169"/>
  <c r="O275" i="169"/>
  <c r="N143" i="169"/>
  <c r="M243" i="169"/>
  <c r="M64" i="169"/>
  <c r="O295" i="169"/>
  <c r="N132" i="169"/>
  <c r="M8" i="169"/>
  <c r="L8" i="169" s="1"/>
  <c r="O166" i="169"/>
  <c r="N36" i="169"/>
  <c r="O33" i="169"/>
  <c r="N17" i="169"/>
  <c r="O71" i="169"/>
  <c r="O189" i="169"/>
  <c r="O210" i="169"/>
  <c r="M109" i="169"/>
  <c r="M261" i="169"/>
  <c r="O165" i="169"/>
  <c r="O263" i="169"/>
  <c r="M26" i="169"/>
  <c r="N39" i="169"/>
  <c r="M232" i="169"/>
  <c r="M292" i="169"/>
  <c r="O227" i="169"/>
  <c r="M240" i="169"/>
  <c r="M255" i="169"/>
  <c r="O235" i="169"/>
  <c r="M242" i="169"/>
  <c r="N162" i="169"/>
  <c r="O77" i="169"/>
  <c r="M263" i="169"/>
  <c r="L263" i="169" s="1"/>
  <c r="N163" i="169"/>
  <c r="M80" i="169"/>
  <c r="N194" i="169"/>
  <c r="O216" i="169"/>
  <c r="O255" i="169"/>
  <c r="O17" i="169"/>
  <c r="N150" i="169"/>
  <c r="O116" i="169"/>
  <c r="M23" i="169"/>
  <c r="O126" i="169"/>
  <c r="M296" i="169"/>
  <c r="N46" i="169"/>
  <c r="N246" i="169"/>
  <c r="O13" i="169"/>
  <c r="M277" i="169"/>
  <c r="N27" i="169"/>
  <c r="N227" i="169"/>
  <c r="O51" i="169"/>
  <c r="N168" i="169"/>
  <c r="O169" i="169"/>
  <c r="M158" i="169"/>
  <c r="L158" i="169" s="1"/>
  <c r="O190" i="169"/>
  <c r="M119" i="169"/>
  <c r="O268" i="169"/>
  <c r="M71" i="169"/>
  <c r="L71" i="169" s="1"/>
  <c r="M271" i="169"/>
  <c r="N180" i="169"/>
  <c r="O145" i="169"/>
  <c r="N131" i="169"/>
  <c r="O243" i="169"/>
  <c r="M54" i="169"/>
  <c r="N213" i="169"/>
  <c r="N299" i="169"/>
  <c r="M175" i="169"/>
  <c r="M125" i="169"/>
  <c r="L125" i="169" s="1"/>
  <c r="M223" i="169"/>
  <c r="L223" i="169" s="1"/>
  <c r="O58" i="169"/>
  <c r="N264" i="169"/>
  <c r="O206" i="169"/>
  <c r="O53" i="169"/>
  <c r="N7" i="169"/>
  <c r="N148" i="169"/>
  <c r="M138" i="169"/>
  <c r="M99" i="169"/>
  <c r="M51" i="169"/>
  <c r="O4" i="169"/>
  <c r="N111" i="169"/>
  <c r="M293" i="169"/>
  <c r="N103" i="169"/>
  <c r="O39" i="169"/>
  <c r="O267" i="169"/>
  <c r="M235" i="169"/>
  <c r="M222" i="169"/>
  <c r="N144" i="169"/>
  <c r="O18" i="169"/>
  <c r="M285" i="169"/>
  <c r="O257" i="169"/>
  <c r="N122" i="169"/>
  <c r="M286" i="169"/>
  <c r="L286" i="169" s="1"/>
  <c r="N236" i="169"/>
  <c r="M267" i="169"/>
  <c r="L267" i="169" s="1"/>
  <c r="N217" i="169"/>
  <c r="N158" i="169"/>
  <c r="M148" i="169"/>
  <c r="L148" i="169" s="1"/>
  <c r="O288" i="169"/>
  <c r="N170" i="169"/>
  <c r="N121" i="169"/>
  <c r="N154" i="169"/>
  <c r="N172" i="169"/>
  <c r="O198" i="169"/>
  <c r="O159" i="169"/>
  <c r="N233" i="169"/>
  <c r="O122" i="169"/>
  <c r="N252" i="169"/>
  <c r="M12" i="169"/>
  <c r="L12" i="169" s="1"/>
  <c r="N212" i="169"/>
  <c r="O38" i="169"/>
  <c r="O187" i="169"/>
  <c r="M260" i="169"/>
  <c r="L260" i="169" s="1"/>
  <c r="M275" i="169"/>
  <c r="L275" i="169" s="1"/>
  <c r="O195" i="169"/>
  <c r="M262" i="169"/>
  <c r="N182" i="169"/>
  <c r="M90" i="169"/>
  <c r="M283" i="169"/>
  <c r="N183" i="169"/>
  <c r="M95" i="169"/>
  <c r="N274" i="169"/>
  <c r="O96" i="169"/>
  <c r="O215" i="169"/>
  <c r="N20" i="169"/>
  <c r="N169" i="169"/>
  <c r="N43" i="169"/>
  <c r="M36" i="169"/>
  <c r="O86" i="169"/>
  <c r="O294" i="169"/>
  <c r="N56" i="169"/>
  <c r="N256" i="169"/>
  <c r="M87" i="169"/>
  <c r="M287" i="169"/>
  <c r="L287" i="169" s="1"/>
  <c r="N37" i="169"/>
  <c r="N237" i="169"/>
  <c r="O31" i="169"/>
  <c r="N178" i="169"/>
  <c r="O149" i="169"/>
  <c r="M168" i="169"/>
  <c r="O170" i="169"/>
  <c r="M129" i="169"/>
  <c r="L129" i="169" s="1"/>
  <c r="O248" i="169"/>
  <c r="M81" i="169"/>
  <c r="M281" i="169"/>
  <c r="N190" i="169"/>
  <c r="O125" i="169"/>
  <c r="N141" i="169"/>
  <c r="O223" i="169"/>
  <c r="M194" i="169"/>
  <c r="L194" i="169" s="1"/>
  <c r="M202" i="169"/>
  <c r="N49" i="169"/>
  <c r="N285" i="169"/>
  <c r="N13" i="169"/>
  <c r="N26" i="169"/>
  <c r="O91" i="169"/>
  <c r="O185" i="169"/>
  <c r="M294" i="169"/>
  <c r="O237" i="169"/>
  <c r="M61" i="169"/>
  <c r="M85" i="169"/>
  <c r="O279" i="169"/>
  <c r="N53" i="169"/>
  <c r="O81" i="169"/>
  <c r="M118" i="169"/>
  <c r="M213" i="169"/>
  <c r="L213" i="169" s="1"/>
  <c r="N14" i="169"/>
  <c r="O147" i="169"/>
  <c r="M280" i="169"/>
  <c r="L280" i="169" s="1"/>
  <c r="M295" i="169"/>
  <c r="L295" i="169" s="1"/>
  <c r="O155" i="169"/>
  <c r="M282" i="169"/>
  <c r="L282" i="169" s="1"/>
  <c r="N202" i="169"/>
  <c r="M215" i="169"/>
  <c r="L215" i="169" s="1"/>
  <c r="O300" i="169"/>
  <c r="N203" i="169"/>
  <c r="M113" i="169"/>
  <c r="O197" i="169"/>
  <c r="M6" i="169"/>
  <c r="O175" i="169"/>
  <c r="M65" i="169"/>
  <c r="N189" i="169"/>
  <c r="M34" i="169"/>
  <c r="M53" i="169"/>
  <c r="O46" i="169"/>
  <c r="O274" i="169"/>
  <c r="N66" i="169"/>
  <c r="N266" i="169"/>
  <c r="M97" i="169"/>
  <c r="M297" i="169"/>
  <c r="N47" i="169"/>
  <c r="N247" i="169"/>
  <c r="O11" i="169"/>
  <c r="N188" i="169"/>
  <c r="O129" i="169"/>
  <c r="M178" i="169"/>
  <c r="O130" i="169"/>
  <c r="M139" i="169"/>
  <c r="O228" i="169"/>
  <c r="M91" i="169"/>
  <c r="M291" i="169"/>
  <c r="N200" i="169"/>
  <c r="O105" i="169"/>
  <c r="N151" i="169"/>
  <c r="O203" i="169"/>
  <c r="O6" i="169"/>
  <c r="O150" i="169"/>
  <c r="N161" i="169"/>
  <c r="N42" i="169"/>
  <c r="O67" i="169"/>
  <c r="O75" i="169"/>
  <c r="N243" i="169"/>
  <c r="N130" i="169"/>
  <c r="M136" i="169"/>
  <c r="L136" i="169" s="1"/>
  <c r="M117" i="169"/>
  <c r="L117" i="169" s="1"/>
  <c r="N267" i="169"/>
  <c r="O90" i="169"/>
  <c r="N171" i="169"/>
  <c r="O282" i="169"/>
  <c r="M153" i="169"/>
  <c r="O226" i="169"/>
  <c r="N262" i="169"/>
  <c r="N263" i="169"/>
  <c r="O76" i="169"/>
  <c r="M185" i="169"/>
  <c r="N100" i="169"/>
  <c r="O214" i="169"/>
  <c r="N296" i="169"/>
  <c r="O252" i="169"/>
  <c r="N77" i="169"/>
  <c r="N18" i="169"/>
  <c r="N218" i="169"/>
  <c r="O69" i="169"/>
  <c r="M208" i="169"/>
  <c r="L208" i="169" s="1"/>
  <c r="O70" i="169"/>
  <c r="M169" i="169"/>
  <c r="O168" i="169"/>
  <c r="O264" i="169"/>
  <c r="N230" i="169"/>
  <c r="O45" i="169"/>
  <c r="N181" i="169"/>
  <c r="O143" i="169"/>
  <c r="N276" i="169"/>
  <c r="N210" i="169"/>
  <c r="O202" i="169"/>
  <c r="N235" i="169"/>
  <c r="N113" i="169"/>
  <c r="N86" i="169"/>
  <c r="N67" i="169"/>
  <c r="N208" i="169"/>
  <c r="M198" i="169"/>
  <c r="M159" i="169"/>
  <c r="O65" i="169"/>
  <c r="M173" i="169"/>
  <c r="L173" i="169" s="1"/>
  <c r="M60" i="169"/>
  <c r="L60" i="169" s="1"/>
  <c r="O36" i="169"/>
  <c r="N3" i="169"/>
  <c r="M164" i="169"/>
  <c r="O55" i="169"/>
  <c r="N249" i="169"/>
  <c r="N164" i="169"/>
  <c r="M146" i="169"/>
  <c r="N96" i="169"/>
  <c r="M121" i="169"/>
  <c r="M40" i="169"/>
  <c r="M155" i="169"/>
  <c r="O242" i="169"/>
  <c r="M253" i="169"/>
  <c r="N119" i="169"/>
  <c r="M56" i="169"/>
  <c r="N74" i="169"/>
  <c r="M2" i="169"/>
  <c r="O186" i="169"/>
  <c r="M28" i="169"/>
  <c r="L28" i="169" s="1"/>
  <c r="N2" i="169"/>
  <c r="O142" i="169"/>
  <c r="N282" i="169"/>
  <c r="M17" i="169"/>
  <c r="O140" i="169"/>
  <c r="N283" i="169"/>
  <c r="M184" i="169"/>
  <c r="M14" i="169"/>
  <c r="N65" i="169"/>
  <c r="O15" i="169"/>
  <c r="M245" i="169"/>
  <c r="N269" i="169"/>
  <c r="N224" i="169"/>
  <c r="N115" i="169"/>
  <c r="M156" i="169"/>
  <c r="O194" i="169"/>
  <c r="N106" i="169"/>
  <c r="O293" i="169"/>
  <c r="M137" i="169"/>
  <c r="O232" i="169"/>
  <c r="N87" i="169"/>
  <c r="N287" i="169"/>
  <c r="N28" i="169"/>
  <c r="N228" i="169"/>
  <c r="O49" i="169"/>
  <c r="M218" i="169"/>
  <c r="O50" i="169"/>
  <c r="M179" i="169"/>
  <c r="O148" i="169"/>
  <c r="M131" i="169"/>
  <c r="O244" i="169"/>
  <c r="N240" i="169"/>
  <c r="O25" i="169"/>
  <c r="N191" i="169"/>
  <c r="O123" i="169"/>
  <c r="N76" i="169"/>
  <c r="O109" i="169"/>
  <c r="O85" i="169"/>
  <c r="M44" i="169"/>
  <c r="L44" i="169" s="1"/>
  <c r="N242" i="169"/>
  <c r="O95" i="169"/>
  <c r="N83" i="169"/>
  <c r="N286" i="169"/>
  <c r="N8" i="169"/>
  <c r="N220" i="169"/>
  <c r="N102" i="169"/>
  <c r="O182" i="169"/>
  <c r="N277" i="169"/>
  <c r="M86" i="169"/>
  <c r="M234" i="169"/>
  <c r="O82" i="169"/>
  <c r="O80" i="169"/>
  <c r="N272" i="169"/>
  <c r="M192" i="169"/>
  <c r="M92" i="169"/>
  <c r="M15" i="169"/>
  <c r="O146" i="169"/>
  <c r="M74" i="169"/>
  <c r="L74" i="169" s="1"/>
  <c r="N15" i="169"/>
  <c r="O102" i="169"/>
  <c r="O301" i="169"/>
  <c r="N32" i="169"/>
  <c r="O100" i="169"/>
  <c r="O299" i="169"/>
  <c r="M204" i="169"/>
  <c r="M20" i="169"/>
  <c r="L20" i="169" s="1"/>
  <c r="N82" i="169"/>
  <c r="N174" i="169"/>
  <c r="M265" i="169"/>
  <c r="N289" i="169"/>
  <c r="N284" i="169"/>
  <c r="M133" i="169"/>
  <c r="L133" i="169" s="1"/>
  <c r="M166" i="169"/>
  <c r="O174" i="169"/>
  <c r="N116" i="169"/>
  <c r="O273" i="169"/>
  <c r="M147" i="169"/>
  <c r="L147" i="169" s="1"/>
  <c r="O212" i="169"/>
  <c r="N97" i="169"/>
  <c r="N297" i="169"/>
  <c r="N38" i="169"/>
  <c r="N238" i="169"/>
  <c r="O29" i="169"/>
  <c r="M228" i="169"/>
  <c r="L228" i="169" s="1"/>
  <c r="O30" i="169"/>
  <c r="M189" i="169"/>
  <c r="O128" i="169"/>
  <c r="M141" i="169"/>
  <c r="O224" i="169"/>
  <c r="N250" i="169"/>
  <c r="O5" i="169"/>
  <c r="N201" i="169"/>
  <c r="O103" i="169"/>
  <c r="O292" i="169"/>
  <c r="O183" i="169"/>
  <c r="M104" i="169"/>
  <c r="O266" i="169"/>
  <c r="O222" i="169"/>
  <c r="M195" i="169"/>
  <c r="L195" i="169" s="1"/>
  <c r="N229" i="169"/>
  <c r="O234" i="169"/>
  <c r="O272" i="169"/>
  <c r="O89" i="169"/>
  <c r="O163" i="169"/>
  <c r="M252" i="169"/>
  <c r="N12" i="169"/>
  <c r="O27" i="169"/>
  <c r="O35" i="169"/>
  <c r="O180" i="169"/>
  <c r="M52" i="169"/>
  <c r="L52" i="169" s="1"/>
  <c r="M127" i="169"/>
  <c r="N153" i="169"/>
  <c r="O278" i="169"/>
  <c r="O241" i="169"/>
  <c r="N10" i="169"/>
  <c r="O41" i="169"/>
  <c r="O42" i="169"/>
  <c r="M106" i="169"/>
  <c r="L106" i="169" s="1"/>
  <c r="M30" i="169"/>
  <c r="L30" i="169" s="1"/>
  <c r="O106" i="169"/>
  <c r="N90" i="169"/>
  <c r="N30" i="169"/>
  <c r="O62" i="169"/>
  <c r="O261" i="169"/>
  <c r="M46" i="169"/>
  <c r="O60" i="169"/>
  <c r="O259" i="169"/>
  <c r="M224" i="169"/>
  <c r="N80" i="169"/>
  <c r="N99" i="169"/>
  <c r="O117" i="169"/>
  <c r="O256" i="169"/>
  <c r="O287" i="169"/>
  <c r="O217" i="169"/>
  <c r="M152" i="169"/>
  <c r="L152" i="169" s="1"/>
  <c r="M176" i="169"/>
  <c r="O154" i="169"/>
  <c r="N126" i="169"/>
  <c r="O253" i="169"/>
  <c r="M157" i="169"/>
  <c r="L157" i="169" s="1"/>
  <c r="O192" i="169"/>
  <c r="N107" i="169"/>
  <c r="O291" i="169"/>
  <c r="N48" i="169"/>
  <c r="N248" i="169"/>
  <c r="O9" i="169"/>
  <c r="M238" i="169"/>
  <c r="L238" i="169" s="1"/>
  <c r="O10" i="169"/>
  <c r="M199" i="169"/>
  <c r="O108" i="169"/>
  <c r="M151" i="169"/>
  <c r="L151" i="169" s="1"/>
  <c r="O204" i="169"/>
  <c r="N260" i="169"/>
  <c r="N11" i="169"/>
  <c r="N211" i="169"/>
  <c r="O83" i="169"/>
  <c r="O63" i="169"/>
  <c r="M107" i="169"/>
  <c r="L107" i="169" s="1"/>
  <c r="N198" i="169"/>
  <c r="O208" i="169"/>
  <c r="M172" i="169"/>
  <c r="L172" i="169" s="1"/>
  <c r="O220" i="169"/>
  <c r="O284" i="169"/>
  <c r="N54" i="169"/>
  <c r="M13" i="169"/>
  <c r="N44" i="169"/>
  <c r="N105" i="169"/>
  <c r="O22" i="169"/>
  <c r="O20" i="169"/>
  <c r="M130" i="169"/>
  <c r="M43" i="169"/>
  <c r="O137" i="169"/>
  <c r="M186" i="169"/>
  <c r="O233" i="169"/>
  <c r="N117" i="169"/>
  <c r="N258" i="169"/>
  <c r="M248" i="169"/>
  <c r="L248" i="169" s="1"/>
  <c r="M209" i="169"/>
  <c r="L209" i="169" s="1"/>
  <c r="M161" i="169"/>
  <c r="L161" i="169" s="1"/>
  <c r="O184" i="169"/>
  <c r="N21" i="169"/>
  <c r="O281" i="169"/>
  <c r="N24" i="169"/>
  <c r="O240" i="169"/>
  <c r="M116" i="169"/>
  <c r="M70" i="169"/>
  <c r="L70" i="169" s="1"/>
  <c r="N192" i="169"/>
  <c r="M142" i="169"/>
  <c r="L142" i="169" s="1"/>
  <c r="N60" i="169"/>
  <c r="O26" i="169"/>
  <c r="M123" i="169"/>
  <c r="L123" i="169" s="1"/>
  <c r="M62" i="169"/>
  <c r="M3" i="169"/>
  <c r="L3" i="169" s="1"/>
  <c r="O181" i="169"/>
  <c r="M77" i="169"/>
  <c r="M4" i="169"/>
  <c r="L4" i="169" s="1"/>
  <c r="O179" i="169"/>
  <c r="M264" i="169"/>
  <c r="L264" i="169" s="1"/>
  <c r="N184" i="169"/>
  <c r="M132" i="169"/>
  <c r="L132" i="169" s="1"/>
  <c r="N155" i="169"/>
  <c r="O56" i="169"/>
  <c r="O207" i="169"/>
  <c r="O97" i="169"/>
  <c r="M190" i="169"/>
  <c r="M196" i="169"/>
  <c r="L196" i="169" s="1"/>
  <c r="O114" i="169"/>
  <c r="N146" i="169"/>
  <c r="O213" i="169"/>
  <c r="M177" i="169"/>
  <c r="O152" i="169"/>
  <c r="N127" i="169"/>
  <c r="O251" i="169"/>
  <c r="N68" i="169"/>
  <c r="N268" i="169"/>
  <c r="M48" i="169"/>
  <c r="L48" i="169" s="1"/>
  <c r="M258" i="169"/>
  <c r="L258" i="169" s="1"/>
  <c r="M19" i="169"/>
  <c r="L19" i="169" s="1"/>
  <c r="M219" i="169"/>
  <c r="L219" i="169" s="1"/>
  <c r="O68" i="169"/>
  <c r="M171" i="169"/>
  <c r="L171" i="169" s="1"/>
  <c r="O164" i="169"/>
  <c r="N280" i="169"/>
  <c r="N31" i="169"/>
  <c r="N231" i="169"/>
  <c r="O43" i="169"/>
  <c r="O254" i="169"/>
  <c r="N257" i="169"/>
  <c r="M188" i="169"/>
  <c r="M149" i="169"/>
  <c r="M101" i="169"/>
  <c r="M214" i="169"/>
  <c r="L214" i="169" s="1"/>
  <c r="M145" i="169"/>
  <c r="L145" i="169" s="1"/>
  <c r="M111" i="169"/>
  <c r="N232" i="169"/>
  <c r="N55" i="169"/>
  <c r="N69" i="169"/>
  <c r="O66" i="169"/>
  <c r="M45" i="169"/>
  <c r="L45" i="169" s="1"/>
  <c r="M63" i="169"/>
  <c r="L63" i="169" s="1"/>
  <c r="O219" i="169"/>
  <c r="N114" i="169"/>
  <c r="O247" i="169"/>
  <c r="O134" i="169"/>
  <c r="M167" i="169"/>
  <c r="L167" i="169" s="1"/>
  <c r="O271" i="169"/>
  <c r="M38" i="169"/>
  <c r="O88" i="169"/>
  <c r="N221" i="169"/>
  <c r="O121" i="169"/>
  <c r="M134" i="169"/>
  <c r="M10" i="169"/>
  <c r="M174" i="169"/>
  <c r="M120" i="169"/>
  <c r="O201" i="169"/>
  <c r="M160" i="169"/>
  <c r="L160" i="169" s="1"/>
  <c r="M75" i="169"/>
  <c r="N254" i="169"/>
  <c r="N140" i="169"/>
  <c r="N75" i="169"/>
  <c r="M16" i="169"/>
  <c r="L16" i="169" s="1"/>
  <c r="O141" i="169"/>
  <c r="M94" i="169"/>
  <c r="L94" i="169" s="1"/>
  <c r="M18" i="169"/>
  <c r="O139" i="169"/>
  <c r="M284" i="169"/>
  <c r="N244" i="169"/>
  <c r="M150" i="169"/>
  <c r="L150" i="169" s="1"/>
  <c r="O156" i="169"/>
  <c r="M7" i="169"/>
  <c r="O167" i="169"/>
  <c r="N5" i="169"/>
  <c r="M210" i="169"/>
  <c r="L210" i="169" s="1"/>
  <c r="M206" i="169"/>
  <c r="L206" i="169" s="1"/>
  <c r="O94" i="169"/>
  <c r="N156" i="169"/>
  <c r="O193" i="169"/>
  <c r="M187" i="169"/>
  <c r="L187" i="169" s="1"/>
  <c r="O132" i="169"/>
  <c r="N137" i="169"/>
  <c r="O231" i="169"/>
  <c r="N78" i="169"/>
  <c r="N278" i="169"/>
  <c r="M58" i="169"/>
  <c r="M268" i="169"/>
  <c r="M29" i="169"/>
  <c r="M229" i="169"/>
  <c r="O48" i="169"/>
  <c r="M181" i="169"/>
  <c r="L181" i="169" s="1"/>
  <c r="O144" i="169"/>
  <c r="N290" i="169"/>
  <c r="N41" i="169"/>
  <c r="N241" i="169"/>
  <c r="O23" i="169"/>
  <c r="N57" i="169"/>
  <c r="M301" i="169"/>
  <c r="L301" i="169" s="1"/>
  <c r="N85" i="169"/>
  <c r="O236" i="169"/>
  <c r="M35" i="169"/>
  <c r="L35" i="169" s="1"/>
  <c r="O188" i="169"/>
  <c r="O118" i="169"/>
  <c r="N123" i="169"/>
  <c r="O221" i="169"/>
  <c r="M244" i="169"/>
  <c r="O136" i="169"/>
  <c r="M170" i="169"/>
  <c r="L170" i="169" s="1"/>
  <c r="N136" i="169"/>
  <c r="O172" i="169"/>
  <c r="N58" i="169"/>
  <c r="M9" i="169"/>
  <c r="N270" i="169"/>
  <c r="N40" i="169"/>
  <c r="M25" i="169"/>
  <c r="L25" i="169" s="1"/>
  <c r="M55" i="169"/>
  <c r="M254" i="169"/>
  <c r="M193" i="169"/>
  <c r="L193" i="169" s="1"/>
  <c r="N23" i="169"/>
  <c r="N179" i="169"/>
  <c r="N92" i="169"/>
  <c r="O277" i="169"/>
  <c r="N159" i="169"/>
  <c r="M93" i="169"/>
  <c r="M32" i="169"/>
  <c r="L32" i="169" s="1"/>
  <c r="O101" i="169"/>
  <c r="M112" i="169"/>
  <c r="M33" i="169"/>
  <c r="L33" i="169" s="1"/>
  <c r="O99" i="169"/>
  <c r="O298" i="169"/>
  <c r="O297" i="169"/>
  <c r="N165" i="169"/>
  <c r="N59" i="169"/>
  <c r="N22" i="169"/>
  <c r="O127" i="169"/>
  <c r="N50" i="169"/>
  <c r="M230" i="169"/>
  <c r="L230" i="169" s="1"/>
  <c r="M216" i="169"/>
  <c r="L216" i="169" s="1"/>
  <c r="O74" i="169"/>
  <c r="N166" i="169"/>
  <c r="O173" i="169"/>
  <c r="M197" i="169"/>
  <c r="L197" i="169" s="1"/>
  <c r="O112" i="169"/>
  <c r="N147" i="169"/>
  <c r="O211" i="169"/>
  <c r="N88" i="169"/>
  <c r="N288" i="169"/>
  <c r="M68" i="169"/>
  <c r="M278" i="169"/>
  <c r="M39" i="169"/>
  <c r="L39" i="169" s="1"/>
  <c r="M239" i="169"/>
  <c r="L239" i="169" s="1"/>
  <c r="O28" i="169"/>
  <c r="M191" i="169"/>
  <c r="O124" i="169"/>
  <c r="N300" i="169"/>
  <c r="N51" i="169"/>
  <c r="N251" i="169"/>
  <c r="O3" i="169"/>
  <c r="N89" i="169"/>
  <c r="N292" i="169"/>
  <c r="N104" i="169"/>
  <c r="O238" i="169"/>
  <c r="M273" i="169"/>
  <c r="L273" i="169" s="1"/>
  <c r="N70" i="169"/>
  <c r="N199" i="169"/>
  <c r="N109" i="169"/>
  <c r="O37" i="169"/>
  <c r="N175" i="169"/>
  <c r="M110" i="169"/>
  <c r="N45" i="169"/>
  <c r="O61" i="169"/>
  <c r="N125" i="169"/>
  <c r="M47" i="169"/>
  <c r="O59" i="169"/>
  <c r="O258" i="169"/>
  <c r="O177" i="169"/>
  <c r="N185" i="169"/>
  <c r="M5" i="169"/>
  <c r="L5" i="169" s="1"/>
  <c r="N35" i="169"/>
  <c r="O87" i="169"/>
  <c r="M114" i="169"/>
  <c r="L114" i="169" s="1"/>
  <c r="M250" i="169"/>
  <c r="L250" i="169" s="1"/>
  <c r="M226" i="169"/>
  <c r="L226" i="169" s="1"/>
  <c r="O54" i="169"/>
  <c r="N176" i="169"/>
  <c r="O153" i="169"/>
  <c r="M207" i="169"/>
  <c r="O92" i="169"/>
  <c r="N157" i="169"/>
  <c r="O191" i="169"/>
  <c r="N98" i="169"/>
  <c r="N298" i="169"/>
  <c r="M78" i="169"/>
  <c r="L78" i="169" s="1"/>
  <c r="M288" i="169"/>
  <c r="M49" i="169"/>
  <c r="M249" i="169"/>
  <c r="L249" i="169" s="1"/>
  <c r="O8" i="169"/>
  <c r="M201" i="169"/>
  <c r="L201" i="169" s="1"/>
  <c r="O104" i="169"/>
  <c r="O285" i="169"/>
  <c r="N61" i="169"/>
  <c r="N261" i="169"/>
  <c r="L176" i="169" l="1"/>
  <c r="L237" i="169"/>
  <c r="L245" i="169"/>
  <c r="L199" i="169"/>
  <c r="L265" i="169"/>
  <c r="L86" i="169"/>
  <c r="L34" i="169"/>
  <c r="L274" i="169"/>
  <c r="L298" i="169"/>
  <c r="L141" i="169"/>
  <c r="L110" i="169"/>
  <c r="L278" i="169"/>
  <c r="L139" i="169"/>
  <c r="L225" i="169"/>
  <c r="L288" i="169"/>
  <c r="L62" i="169"/>
  <c r="L174" i="169"/>
  <c r="L186" i="169"/>
  <c r="L124" i="169"/>
  <c r="L191" i="169"/>
  <c r="L149" i="169"/>
  <c r="L68" i="169"/>
  <c r="L252" i="169"/>
  <c r="L135" i="169"/>
  <c r="L277" i="169"/>
  <c r="L255" i="169"/>
  <c r="L111" i="169"/>
  <c r="L134" i="169"/>
  <c r="L54" i="169"/>
  <c r="L296" i="169"/>
  <c r="L203" i="169"/>
  <c r="L121" i="169"/>
  <c r="L204" i="169"/>
  <c r="L138" i="169"/>
  <c r="L178" i="169"/>
  <c r="L87" i="169"/>
  <c r="L202" i="169"/>
  <c r="L56" i="169"/>
  <c r="L77" i="169"/>
  <c r="L156" i="169"/>
  <c r="L97" i="169"/>
  <c r="L205" i="169"/>
  <c r="L108" i="169"/>
  <c r="L21" i="169"/>
  <c r="L227" i="169"/>
  <c r="L55" i="169"/>
  <c r="L120" i="169"/>
  <c r="L192" i="169"/>
  <c r="L253" i="169"/>
  <c r="L36" i="169"/>
  <c r="L175" i="169"/>
  <c r="L240" i="169"/>
  <c r="L64" i="169"/>
  <c r="L126" i="169"/>
  <c r="L290" i="169"/>
  <c r="L72" i="169"/>
  <c r="L266" i="169"/>
  <c r="L155" i="169"/>
  <c r="L235" i="169"/>
  <c r="L292" i="169"/>
  <c r="L67" i="169"/>
  <c r="L122" i="169"/>
  <c r="L243" i="169"/>
  <c r="L10" i="169"/>
  <c r="L101" i="169"/>
  <c r="L43" i="169"/>
  <c r="L127" i="169"/>
  <c r="L185" i="169"/>
  <c r="L118" i="169"/>
  <c r="L281" i="169"/>
  <c r="L232" i="169"/>
  <c r="L200" i="169"/>
  <c r="L31" i="169"/>
  <c r="L76" i="169"/>
  <c r="L75" i="169"/>
  <c r="L47" i="169"/>
  <c r="L40" i="169"/>
  <c r="L9" i="169"/>
  <c r="L7" i="169"/>
  <c r="L177" i="169"/>
  <c r="L130" i="169"/>
  <c r="L234" i="169"/>
  <c r="L131" i="169"/>
  <c r="L53" i="169"/>
  <c r="L81" i="169"/>
  <c r="L220" i="169"/>
  <c r="L183" i="169"/>
  <c r="L198" i="169"/>
  <c r="L104" i="169"/>
  <c r="L297" i="169"/>
  <c r="L49" i="169"/>
  <c r="L2" i="169"/>
  <c r="L285" i="169"/>
  <c r="L69" i="169"/>
  <c r="L222" i="169"/>
  <c r="L26" i="169"/>
  <c r="L212" i="169"/>
  <c r="L146" i="169"/>
  <c r="L229" i="169"/>
  <c r="L38" i="169"/>
  <c r="L184" i="169"/>
  <c r="L291" i="169"/>
  <c r="L65" i="169"/>
  <c r="L85" i="169"/>
  <c r="L95" i="169"/>
  <c r="L102" i="169"/>
  <c r="L41" i="169"/>
  <c r="L79" i="169"/>
  <c r="L57" i="169"/>
  <c r="L271" i="169"/>
  <c r="L261" i="169"/>
  <c r="L88" i="169"/>
  <c r="L84" i="169"/>
  <c r="L105" i="169"/>
  <c r="L241" i="169"/>
  <c r="L137" i="169"/>
  <c r="L242" i="169"/>
  <c r="L37" i="169"/>
  <c r="L14" i="169"/>
  <c r="L59" i="169"/>
  <c r="L153" i="169"/>
  <c r="L168" i="169"/>
  <c r="L207" i="169"/>
  <c r="L268" i="169"/>
  <c r="L190" i="169"/>
  <c r="L116" i="169"/>
  <c r="L13" i="169"/>
  <c r="L46" i="169"/>
  <c r="L6" i="169"/>
  <c r="L283" i="169"/>
  <c r="L51" i="169"/>
  <c r="L109" i="169"/>
  <c r="L251" i="169"/>
  <c r="L159" i="169"/>
  <c r="L15" i="169"/>
  <c r="L92" i="169"/>
  <c r="L247" i="169"/>
  <c r="L224" i="169"/>
  <c r="L179" i="169"/>
  <c r="L29" i="169"/>
  <c r="L244" i="169"/>
  <c r="L58" i="169"/>
  <c r="L18" i="169"/>
  <c r="L17" i="169"/>
  <c r="L164" i="169"/>
  <c r="L294" i="169"/>
  <c r="L90" i="169"/>
  <c r="L99" i="169"/>
  <c r="L299" i="169"/>
  <c r="L236" i="169"/>
  <c r="L163" i="169"/>
  <c r="L180" i="169"/>
  <c r="L269" i="169"/>
  <c r="L103" i="169"/>
  <c r="L221" i="169"/>
  <c r="L254" i="169"/>
  <c r="L188" i="169"/>
  <c r="L23" i="169"/>
  <c r="L284" i="169"/>
  <c r="L218" i="169"/>
  <c r="L91" i="169"/>
  <c r="L112" i="169"/>
  <c r="L113" i="169"/>
  <c r="L119" i="169"/>
  <c r="L96" i="169"/>
  <c r="L140" i="169"/>
  <c r="L98" i="169"/>
  <c r="L162" i="169"/>
  <c r="L166" i="169"/>
  <c r="L293" i="169"/>
  <c r="L189" i="169"/>
  <c r="L61" i="169"/>
  <c r="L93" i="169"/>
  <c r="L169" i="169"/>
  <c r="L262" i="169"/>
  <c r="L80" i="169"/>
  <c r="L144" i="169"/>
  <c r="L42" i="169"/>
  <c r="L231" i="169"/>
  <c r="L182" i="169"/>
  <c r="L27" i="169"/>
  <c r="C4" i="4" l="1"/>
  <c r="D4" i="4" s="1"/>
  <c r="C15" i="184"/>
  <c r="D15" i="184" s="1"/>
  <c r="C6" i="183"/>
  <c r="D6" i="183" s="1"/>
  <c r="C9" i="182"/>
  <c r="D9" i="182" s="1"/>
  <c r="C5" i="181"/>
  <c r="D5" i="181" s="1"/>
  <c r="C6" i="180"/>
  <c r="D6" i="180" s="1"/>
  <c r="C15" i="179"/>
  <c r="D15" i="179" s="1"/>
  <c r="C19" i="178"/>
  <c r="D19" i="178" s="1"/>
  <c r="C8" i="177"/>
  <c r="D8" i="177" s="1"/>
  <c r="C6" i="176"/>
  <c r="D6" i="176" s="1"/>
  <c r="C17" i="175"/>
  <c r="D17" i="175" s="1"/>
  <c r="C5" i="174"/>
  <c r="D5" i="174" s="1"/>
  <c r="C17" i="173"/>
  <c r="D17" i="173" s="1"/>
  <c r="C21" i="172"/>
  <c r="D21" i="172" s="1"/>
  <c r="C6" i="142"/>
  <c r="D6" i="142" s="1"/>
  <c r="C5" i="4"/>
  <c r="D5" i="4" s="1"/>
  <c r="C19" i="4"/>
  <c r="D19" i="4" s="1"/>
  <c r="C22" i="182"/>
  <c r="D22" i="182" s="1"/>
  <c r="C22" i="177"/>
  <c r="D22" i="177" s="1"/>
  <c r="C22" i="173"/>
  <c r="D22" i="173" s="1"/>
  <c r="C17" i="4"/>
  <c r="D17" i="4" s="1"/>
  <c r="C10" i="175"/>
  <c r="D10" i="175" s="1"/>
  <c r="C5" i="182"/>
  <c r="D5" i="182" s="1"/>
  <c r="C18" i="175"/>
  <c r="D18" i="175" s="1"/>
  <c r="C8" i="183"/>
  <c r="D8" i="183" s="1"/>
  <c r="C16" i="172"/>
  <c r="D16" i="172" s="1"/>
  <c r="C8" i="180"/>
  <c r="D8" i="180" s="1"/>
  <c r="C9" i="174"/>
  <c r="D9" i="174" s="1"/>
  <c r="C10" i="182"/>
  <c r="D10" i="182" s="1"/>
  <c r="C4" i="176"/>
  <c r="D4" i="176" s="1"/>
  <c r="C9" i="4"/>
  <c r="D9" i="4" s="1"/>
  <c r="C4" i="172"/>
  <c r="D4" i="172" s="1"/>
  <c r="C4" i="142"/>
  <c r="D4" i="142" s="1"/>
  <c r="C4" i="184"/>
  <c r="D4" i="184" s="1"/>
  <c r="C15" i="183"/>
  <c r="D15" i="183" s="1"/>
  <c r="C8" i="182"/>
  <c r="D8" i="182" s="1"/>
  <c r="C4" i="181"/>
  <c r="D4" i="181" s="1"/>
  <c r="C15" i="180"/>
  <c r="D15" i="180" s="1"/>
  <c r="C4" i="179"/>
  <c r="D4" i="179" s="1"/>
  <c r="C9" i="178"/>
  <c r="D9" i="178" s="1"/>
  <c r="C4" i="177"/>
  <c r="D4" i="177" s="1"/>
  <c r="C15" i="176"/>
  <c r="D15" i="176" s="1"/>
  <c r="C7" i="175"/>
  <c r="D7" i="175" s="1"/>
  <c r="C14" i="174"/>
  <c r="D14" i="174" s="1"/>
  <c r="C14" i="173"/>
  <c r="D14" i="173" s="1"/>
  <c r="C10" i="172"/>
  <c r="D10" i="172" s="1"/>
  <c r="C5" i="142"/>
  <c r="D5" i="142" s="1"/>
  <c r="C23" i="173"/>
  <c r="D23" i="173" s="1"/>
  <c r="C20" i="4"/>
  <c r="D20" i="4" s="1"/>
  <c r="C22" i="181"/>
  <c r="D22" i="181" s="1"/>
  <c r="C18" i="179"/>
  <c r="D18" i="179" s="1"/>
  <c r="C10" i="174"/>
  <c r="D10" i="174" s="1"/>
  <c r="C15" i="4"/>
  <c r="D15" i="4" s="1"/>
  <c r="C6" i="182"/>
  <c r="D6" i="182" s="1"/>
  <c r="C15" i="174"/>
  <c r="D15" i="174" s="1"/>
  <c r="C18" i="177"/>
  <c r="D18" i="177" s="1"/>
  <c r="C13" i="142"/>
  <c r="D13" i="142" s="1"/>
  <c r="C15" i="181"/>
  <c r="D15" i="181" s="1"/>
  <c r="C20" i="182"/>
  <c r="D20" i="182" s="1"/>
  <c r="C18" i="176"/>
  <c r="D18" i="176" s="1"/>
  <c r="C21" i="183"/>
  <c r="D21" i="183" s="1"/>
  <c r="C19" i="175"/>
  <c r="D19" i="175" s="1"/>
  <c r="C17" i="176"/>
  <c r="D17" i="176" s="1"/>
  <c r="C9" i="142"/>
  <c r="D9" i="142" s="1"/>
  <c r="C19" i="177"/>
  <c r="D19" i="177" s="1"/>
  <c r="C6" i="181"/>
  <c r="D6" i="181" s="1"/>
  <c r="C6" i="4"/>
  <c r="D6" i="4" s="1"/>
  <c r="C9" i="184"/>
  <c r="D9" i="184" s="1"/>
  <c r="C10" i="183"/>
  <c r="D10" i="183" s="1"/>
  <c r="C23" i="182"/>
  <c r="D23" i="182" s="1"/>
  <c r="C23" i="181"/>
  <c r="D23" i="181" s="1"/>
  <c r="C23" i="180"/>
  <c r="D23" i="180" s="1"/>
  <c r="C22" i="179"/>
  <c r="D22" i="179" s="1"/>
  <c r="C12" i="178"/>
  <c r="D12" i="178" s="1"/>
  <c r="C23" i="177"/>
  <c r="D23" i="177" s="1"/>
  <c r="C23" i="176"/>
  <c r="D23" i="176" s="1"/>
  <c r="C23" i="175"/>
  <c r="D23" i="175" s="1"/>
  <c r="C23" i="174"/>
  <c r="D23" i="174" s="1"/>
  <c r="C23" i="172"/>
  <c r="D23" i="172" s="1"/>
  <c r="C7" i="184"/>
  <c r="D7" i="184" s="1"/>
  <c r="C13" i="178"/>
  <c r="D13" i="178" s="1"/>
  <c r="C15" i="175"/>
  <c r="D15" i="175" s="1"/>
  <c r="C22" i="172"/>
  <c r="D22" i="172" s="1"/>
  <c r="C4" i="173"/>
  <c r="D4" i="173" s="1"/>
  <c r="C15" i="142"/>
  <c r="D15" i="142" s="1"/>
  <c r="C10" i="181"/>
  <c r="D10" i="181" s="1"/>
  <c r="C7" i="172"/>
  <c r="D7" i="172" s="1"/>
  <c r="C7" i="179"/>
  <c r="D7" i="179" s="1"/>
  <c r="C16" i="173"/>
  <c r="D16" i="173" s="1"/>
  <c r="C7" i="183"/>
  <c r="D7" i="183" s="1"/>
  <c r="C5" i="178"/>
  <c r="D5" i="178" s="1"/>
  <c r="C5" i="173"/>
  <c r="D5" i="173" s="1"/>
  <c r="C14" i="180"/>
  <c r="D14" i="180" s="1"/>
  <c r="C9" i="175"/>
  <c r="D9" i="175" s="1"/>
  <c r="C7" i="180"/>
  <c r="D7" i="180" s="1"/>
  <c r="C9" i="183"/>
  <c r="D9" i="183" s="1"/>
  <c r="C16" i="176"/>
  <c r="D16" i="176" s="1"/>
  <c r="C8" i="184"/>
  <c r="D8" i="184" s="1"/>
  <c r="C23" i="183"/>
  <c r="D23" i="183" s="1"/>
  <c r="C13" i="182"/>
  <c r="D13" i="182" s="1"/>
  <c r="C13" i="181"/>
  <c r="D13" i="181" s="1"/>
  <c r="C13" i="180"/>
  <c r="D13" i="180" s="1"/>
  <c r="C12" i="179"/>
  <c r="D12" i="179" s="1"/>
  <c r="C23" i="178"/>
  <c r="D23" i="178" s="1"/>
  <c r="C13" i="177"/>
  <c r="D13" i="177" s="1"/>
  <c r="C13" i="176"/>
  <c r="D13" i="176" s="1"/>
  <c r="C13" i="175"/>
  <c r="D13" i="175" s="1"/>
  <c r="C13" i="174"/>
  <c r="D13" i="174" s="1"/>
  <c r="C13" i="173"/>
  <c r="D13" i="173" s="1"/>
  <c r="C13" i="172"/>
  <c r="D13" i="172" s="1"/>
  <c r="C22" i="142"/>
  <c r="D22" i="142" s="1"/>
  <c r="C13" i="183"/>
  <c r="D13" i="183" s="1"/>
  <c r="C5" i="180"/>
  <c r="D5" i="180" s="1"/>
  <c r="C8" i="176"/>
  <c r="D8" i="176" s="1"/>
  <c r="C21" i="142"/>
  <c r="D21" i="142" s="1"/>
  <c r="C18" i="172"/>
  <c r="D18" i="172" s="1"/>
  <c r="C8" i="178"/>
  <c r="D8" i="178" s="1"/>
  <c r="C13" i="4"/>
  <c r="D13" i="4" s="1"/>
  <c r="C19" i="180"/>
  <c r="D19" i="180" s="1"/>
  <c r="C12" i="4"/>
  <c r="D12" i="4" s="1"/>
  <c r="C9" i="180"/>
  <c r="D9" i="180" s="1"/>
  <c r="C5" i="184"/>
  <c r="D5" i="184" s="1"/>
  <c r="C8" i="174"/>
  <c r="D8" i="174" s="1"/>
  <c r="C17" i="184"/>
  <c r="D17" i="184" s="1"/>
  <c r="C9" i="177"/>
  <c r="D9" i="177" s="1"/>
  <c r="C19" i="174"/>
  <c r="D19" i="174" s="1"/>
  <c r="C18" i="174"/>
  <c r="D18" i="174" s="1"/>
  <c r="C10" i="142"/>
  <c r="D10" i="142" s="1"/>
  <c r="C5" i="172"/>
  <c r="D5" i="172" s="1"/>
  <c r="C9" i="179"/>
  <c r="D9" i="179" s="1"/>
  <c r="C7" i="174"/>
  <c r="D7" i="174" s="1"/>
  <c r="C8" i="142"/>
  <c r="D8" i="142" s="1"/>
  <c r="C16" i="180"/>
  <c r="D16" i="180" s="1"/>
  <c r="C23" i="184"/>
  <c r="D23" i="184" s="1"/>
  <c r="C18" i="183"/>
  <c r="D18" i="183" s="1"/>
  <c r="C12" i="182"/>
  <c r="D12" i="182" s="1"/>
  <c r="C12" i="181"/>
  <c r="D12" i="181" s="1"/>
  <c r="C22" i="180"/>
  <c r="D22" i="180" s="1"/>
  <c r="C17" i="179"/>
  <c r="D17" i="179" s="1"/>
  <c r="C17" i="178"/>
  <c r="D17" i="178" s="1"/>
  <c r="C12" i="177"/>
  <c r="D12" i="177" s="1"/>
  <c r="C5" i="176"/>
  <c r="D5" i="176" s="1"/>
  <c r="C14" i="175"/>
  <c r="D14" i="175" s="1"/>
  <c r="C20" i="174"/>
  <c r="D20" i="174" s="1"/>
  <c r="C12" i="173"/>
  <c r="D12" i="173" s="1"/>
  <c r="C12" i="172"/>
  <c r="D12" i="172" s="1"/>
  <c r="C20" i="142"/>
  <c r="D20" i="142" s="1"/>
  <c r="C16" i="4"/>
  <c r="D16" i="4" s="1"/>
  <c r="C12" i="175"/>
  <c r="D12" i="175" s="1"/>
  <c r="C22" i="174"/>
  <c r="D22" i="174" s="1"/>
  <c r="C16" i="142"/>
  <c r="D16" i="142" s="1"/>
  <c r="C22" i="4"/>
  <c r="D22" i="4" s="1"/>
  <c r="C10" i="180"/>
  <c r="D10" i="180" s="1"/>
  <c r="C11" i="175"/>
  <c r="D11" i="175" s="1"/>
  <c r="C18" i="173"/>
  <c r="D18" i="173" s="1"/>
  <c r="C12" i="183"/>
  <c r="D12" i="183" s="1"/>
  <c r="C19" i="176"/>
  <c r="D19" i="176" s="1"/>
  <c r="C6" i="178"/>
  <c r="D6" i="178" s="1"/>
  <c r="C11" i="4"/>
  <c r="D11" i="4" s="1"/>
  <c r="C6" i="177"/>
  <c r="D6" i="177" s="1"/>
  <c r="C6" i="172"/>
  <c r="D6" i="172" s="1"/>
  <c r="C5" i="179"/>
  <c r="D5" i="179" s="1"/>
  <c r="C14" i="177"/>
  <c r="D14" i="177" s="1"/>
  <c r="C19" i="183"/>
  <c r="D19" i="183" s="1"/>
  <c r="C16" i="179"/>
  <c r="D16" i="179" s="1"/>
  <c r="C13" i="184"/>
  <c r="D13" i="184" s="1"/>
  <c r="C17" i="183"/>
  <c r="D17" i="183" s="1"/>
  <c r="C21" i="182"/>
  <c r="D21" i="182" s="1"/>
  <c r="C21" i="181"/>
  <c r="D21" i="181" s="1"/>
  <c r="C12" i="180"/>
  <c r="D12" i="180" s="1"/>
  <c r="C23" i="179"/>
  <c r="D23" i="179" s="1"/>
  <c r="C16" i="178"/>
  <c r="D16" i="178" s="1"/>
  <c r="C17" i="177"/>
  <c r="D17" i="177" s="1"/>
  <c r="C14" i="176"/>
  <c r="D14" i="176" s="1"/>
  <c r="C22" i="175"/>
  <c r="D22" i="175" s="1"/>
  <c r="C17" i="174"/>
  <c r="D17" i="174" s="1"/>
  <c r="C21" i="173"/>
  <c r="D21" i="173" s="1"/>
  <c r="C11" i="172"/>
  <c r="D11" i="172" s="1"/>
  <c r="C23" i="142"/>
  <c r="D23" i="142" s="1"/>
  <c r="C23" i="4"/>
  <c r="D23" i="4" s="1"/>
  <c r="C11" i="173"/>
  <c r="D11" i="173" s="1"/>
  <c r="C20" i="172"/>
  <c r="D20" i="172" s="1"/>
  <c r="C9" i="181"/>
  <c r="D9" i="181" s="1"/>
  <c r="C21" i="178"/>
  <c r="D21" i="178" s="1"/>
  <c r="C20" i="181"/>
  <c r="D20" i="181" s="1"/>
  <c r="C10" i="177"/>
  <c r="D10" i="177" s="1"/>
  <c r="C9" i="176"/>
  <c r="D9" i="176" s="1"/>
  <c r="C5" i="175"/>
  <c r="D5" i="175" s="1"/>
  <c r="C10" i="4"/>
  <c r="D10" i="4" s="1"/>
  <c r="C15" i="177"/>
  <c r="D15" i="177" s="1"/>
  <c r="C10" i="173"/>
  <c r="D10" i="173" s="1"/>
  <c r="C8" i="4"/>
  <c r="D8" i="4" s="1"/>
  <c r="C16" i="181"/>
  <c r="D16" i="181" s="1"/>
  <c r="C8" i="175"/>
  <c r="D8" i="175" s="1"/>
  <c r="C19" i="173"/>
  <c r="D19" i="173" s="1"/>
  <c r="C7" i="4"/>
  <c r="D7" i="4" s="1"/>
  <c r="C19" i="182"/>
  <c r="D19" i="182" s="1"/>
  <c r="C6" i="174"/>
  <c r="D6" i="174" s="1"/>
  <c r="C22" i="184"/>
  <c r="D22" i="184" s="1"/>
  <c r="C5" i="183"/>
  <c r="D5" i="183" s="1"/>
  <c r="C11" i="182"/>
  <c r="D11" i="182" s="1"/>
  <c r="C11" i="181"/>
  <c r="D11" i="181" s="1"/>
  <c r="C21" i="180"/>
  <c r="D21" i="180" s="1"/>
  <c r="C13" i="179"/>
  <c r="D13" i="179" s="1"/>
  <c r="C15" i="178"/>
  <c r="D15" i="178" s="1"/>
  <c r="C16" i="177"/>
  <c r="D16" i="177" s="1"/>
  <c r="C22" i="176"/>
  <c r="D22" i="176" s="1"/>
  <c r="C8" i="173"/>
  <c r="D8" i="173" s="1"/>
  <c r="C12" i="184"/>
  <c r="D12" i="184" s="1"/>
  <c r="C4" i="183"/>
  <c r="D4" i="183" s="1"/>
  <c r="C18" i="182"/>
  <c r="D18" i="182" s="1"/>
  <c r="C8" i="181"/>
  <c r="D8" i="181" s="1"/>
  <c r="C11" i="180"/>
  <c r="D11" i="180" s="1"/>
  <c r="C14" i="179"/>
  <c r="D14" i="179" s="1"/>
  <c r="C14" i="178"/>
  <c r="D14" i="178" s="1"/>
  <c r="C5" i="177"/>
  <c r="D5" i="177" s="1"/>
  <c r="C12" i="176"/>
  <c r="D12" i="176" s="1"/>
  <c r="C4" i="175"/>
  <c r="D4" i="175" s="1"/>
  <c r="C12" i="174"/>
  <c r="D12" i="174" s="1"/>
  <c r="C6" i="173"/>
  <c r="D6" i="173" s="1"/>
  <c r="C19" i="172"/>
  <c r="D19" i="172" s="1"/>
  <c r="C19" i="142"/>
  <c r="D19" i="142" s="1"/>
  <c r="C21" i="4"/>
  <c r="D21" i="4" s="1"/>
  <c r="C21" i="174"/>
  <c r="D21" i="174" s="1"/>
  <c r="C15" i="173"/>
  <c r="D15" i="173" s="1"/>
  <c r="C9" i="172"/>
  <c r="D9" i="172" s="1"/>
  <c r="C18" i="142"/>
  <c r="D18" i="142" s="1"/>
  <c r="C18" i="4"/>
  <c r="D18" i="4" s="1"/>
  <c r="C16" i="183"/>
  <c r="D16" i="183" s="1"/>
  <c r="C11" i="179"/>
  <c r="D11" i="179" s="1"/>
  <c r="C11" i="176"/>
  <c r="D11" i="176" s="1"/>
  <c r="C17" i="142"/>
  <c r="D17" i="142" s="1"/>
  <c r="C4" i="180"/>
  <c r="D4" i="180" s="1"/>
  <c r="C10" i="176"/>
  <c r="D10" i="176" s="1"/>
  <c r="C17" i="172"/>
  <c r="D17" i="172" s="1"/>
  <c r="C4" i="174"/>
  <c r="D4" i="174" s="1"/>
  <c r="C18" i="184"/>
  <c r="D18" i="184" s="1"/>
  <c r="C6" i="175"/>
  <c r="D6" i="175" s="1"/>
  <c r="C12" i="142"/>
  <c r="D12" i="142" s="1"/>
  <c r="C19" i="181"/>
  <c r="D19" i="181" s="1"/>
  <c r="C6" i="179"/>
  <c r="D6" i="179" s="1"/>
  <c r="C11" i="142"/>
  <c r="D11" i="142" s="1"/>
  <c r="C17" i="181"/>
  <c r="D17" i="181" s="1"/>
  <c r="C20" i="173"/>
  <c r="D20" i="173" s="1"/>
  <c r="C16" i="182"/>
  <c r="D16" i="182" s="1"/>
  <c r="C7" i="176"/>
  <c r="D7" i="176" s="1"/>
  <c r="C16" i="175"/>
  <c r="D16" i="175" s="1"/>
  <c r="C6" i="184"/>
  <c r="D6" i="184" s="1"/>
  <c r="C20" i="183"/>
  <c r="D20" i="183" s="1"/>
  <c r="C7" i="182"/>
  <c r="D7" i="182" s="1"/>
  <c r="C14" i="181"/>
  <c r="D14" i="181" s="1"/>
  <c r="C20" i="180"/>
  <c r="D20" i="180" s="1"/>
  <c r="C21" i="179"/>
  <c r="D21" i="179" s="1"/>
  <c r="C22" i="178"/>
  <c r="D22" i="178" s="1"/>
  <c r="C21" i="177"/>
  <c r="D21" i="177" s="1"/>
  <c r="C21" i="176"/>
  <c r="D21" i="176" s="1"/>
  <c r="C21" i="175"/>
  <c r="D21" i="175" s="1"/>
  <c r="C21" i="184"/>
  <c r="D21" i="184" s="1"/>
  <c r="C15" i="182"/>
  <c r="D15" i="182" s="1"/>
  <c r="C11" i="177"/>
  <c r="D11" i="177" s="1"/>
  <c r="C11" i="174"/>
  <c r="D11" i="174" s="1"/>
  <c r="C19" i="184"/>
  <c r="D19" i="184" s="1"/>
  <c r="C8" i="179"/>
  <c r="D8" i="179" s="1"/>
  <c r="C7" i="173"/>
  <c r="D7" i="173" s="1"/>
  <c r="C4" i="182"/>
  <c r="D4" i="182" s="1"/>
  <c r="C7" i="177"/>
  <c r="D7" i="177" s="1"/>
  <c r="C14" i="184"/>
  <c r="D14" i="184" s="1"/>
  <c r="C4" i="178"/>
  <c r="D4" i="178" s="1"/>
  <c r="C15" i="172"/>
  <c r="D15" i="172" s="1"/>
  <c r="C10" i="178"/>
  <c r="D10" i="178" s="1"/>
  <c r="C14" i="172"/>
  <c r="D14" i="172" s="1"/>
  <c r="C16" i="184"/>
  <c r="D16" i="184" s="1"/>
  <c r="C18" i="178"/>
  <c r="D18" i="178" s="1"/>
  <c r="C7" i="142"/>
  <c r="D7" i="142" s="1"/>
  <c r="C11" i="184"/>
  <c r="D11" i="184" s="1"/>
  <c r="C14" i="183"/>
  <c r="D14" i="183" s="1"/>
  <c r="C14" i="182"/>
  <c r="D14" i="182" s="1"/>
  <c r="C18" i="181"/>
  <c r="D18" i="181" s="1"/>
  <c r="C18" i="180"/>
  <c r="D18" i="180" s="1"/>
  <c r="C20" i="179"/>
  <c r="D20" i="179" s="1"/>
  <c r="C11" i="178"/>
  <c r="D11" i="178" s="1"/>
  <c r="C20" i="177"/>
  <c r="D20" i="177" s="1"/>
  <c r="C20" i="176"/>
  <c r="D20" i="176" s="1"/>
  <c r="C20" i="175"/>
  <c r="D20" i="175" s="1"/>
  <c r="C16" i="174"/>
  <c r="D16" i="174" s="1"/>
  <c r="C9" i="173"/>
  <c r="D9" i="173" s="1"/>
  <c r="C8" i="172"/>
  <c r="D8" i="172" s="1"/>
  <c r="C14" i="142"/>
  <c r="D14" i="142" s="1"/>
  <c r="C14" i="4"/>
  <c r="D14" i="4" s="1"/>
  <c r="C10" i="184"/>
  <c r="D10" i="184" s="1"/>
  <c r="C22" i="183"/>
  <c r="D22" i="183" s="1"/>
  <c r="C10" i="179"/>
  <c r="D10" i="179" s="1"/>
  <c r="C7" i="178"/>
  <c r="D7" i="178" s="1"/>
  <c r="C20" i="184"/>
  <c r="D20" i="184" s="1"/>
  <c r="C11" i="183"/>
  <c r="D11" i="183" s="1"/>
  <c r="C17" i="182"/>
  <c r="D17" i="182" s="1"/>
  <c r="C7" i="181"/>
  <c r="D7" i="181" s="1"/>
  <c r="C17" i="180"/>
  <c r="D17" i="180" s="1"/>
  <c r="C19" i="179"/>
  <c r="D19" i="179" s="1"/>
  <c r="C20" i="178"/>
  <c r="D20" i="17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<sst xmlns="http://schemas.openxmlformats.org/spreadsheetml/2006/main" count="981" uniqueCount="355">
  <si>
    <t>UH</t>
  </si>
  <si>
    <t>SY</t>
  </si>
  <si>
    <t>SW</t>
  </si>
  <si>
    <t>SO</t>
  </si>
  <si>
    <t>SK</t>
  </si>
  <si>
    <t>OT</t>
  </si>
  <si>
    <t>OR</t>
  </si>
  <si>
    <t>LZ</t>
  </si>
  <si>
    <t>KR</t>
  </si>
  <si>
    <t>HE</t>
  </si>
  <si>
    <t>DW</t>
  </si>
  <si>
    <t>DS</t>
  </si>
  <si>
    <t>DE</t>
  </si>
  <si>
    <t>BL</t>
  </si>
  <si>
    <t>BA</t>
  </si>
  <si>
    <t>Frozen Banshee</t>
  </si>
  <si>
    <t>Corpulent Cad</t>
  </si>
  <si>
    <t>Knott</t>
  </si>
  <si>
    <t>Gnarlhom</t>
  </si>
  <si>
    <t>Athel</t>
  </si>
  <si>
    <t>Witness</t>
  </si>
  <si>
    <t>Odachi</t>
  </si>
  <si>
    <t>Belower</t>
  </si>
  <si>
    <t>Bellower</t>
  </si>
  <si>
    <t>Galek</t>
  </si>
  <si>
    <t>Ironclad</t>
  </si>
  <si>
    <t>Metalshaper</t>
  </si>
  <si>
    <t>Coffin Smasher</t>
  </si>
  <si>
    <t>Renegade</t>
  </si>
  <si>
    <t>Heiress</t>
  </si>
  <si>
    <t>Dilgol</t>
  </si>
  <si>
    <t>Kurzad</t>
  </si>
  <si>
    <t>Felhound</t>
  </si>
  <si>
    <t>Fellhound</t>
  </si>
  <si>
    <t>Pain Keeper</t>
  </si>
  <si>
    <t>Chevalier</t>
  </si>
  <si>
    <t>Soulbound Bowyer</t>
  </si>
  <si>
    <t>Acc1</t>
  </si>
  <si>
    <t>Acc0</t>
  </si>
  <si>
    <t>Vbox1</t>
  </si>
  <si>
    <t>Stage</t>
  </si>
  <si>
    <t>Condition</t>
  </si>
  <si>
    <t>Barbarians</t>
  </si>
  <si>
    <t>Banner Lords</t>
  </si>
  <si>
    <t>Skinwalkers</t>
  </si>
  <si>
    <t>Demonspawn</t>
  </si>
  <si>
    <t>High Elves</t>
  </si>
  <si>
    <t>Lizardmen</t>
  </si>
  <si>
    <t>Undead Hordes</t>
  </si>
  <si>
    <t>Orcs</t>
  </si>
  <si>
    <t>Knights Revenant</t>
  </si>
  <si>
    <t>Ogryn Tribes</t>
  </si>
  <si>
    <t>Sacred Order</t>
  </si>
  <si>
    <t>Dwarves</t>
  </si>
  <si>
    <t>Dark Elves</t>
  </si>
  <si>
    <t>Shadowkin</t>
  </si>
  <si>
    <t>Sylvan Watchers</t>
  </si>
  <si>
    <t>Hidden</t>
  </si>
  <si>
    <t>faction_code</t>
  </si>
  <si>
    <t>faction_name</t>
  </si>
  <si>
    <t>alliance</t>
  </si>
  <si>
    <t>Telerian League</t>
  </si>
  <si>
    <t>The Corrupted</t>
  </si>
  <si>
    <t>Nyresan Union</t>
  </si>
  <si>
    <t>H1</t>
  </si>
  <si>
    <t>Gaellen Pact</t>
  </si>
  <si>
    <t>.</t>
  </si>
  <si>
    <t xml:space="preserve">Champions </t>
  </si>
  <si>
    <t>Manipulate (De)Buffs 20 times</t>
  </si>
  <si>
    <t>Short</t>
  </si>
  <si>
    <t>Provoke</t>
  </si>
  <si>
    <t>Stun</t>
  </si>
  <si>
    <t>100 Turns</t>
  </si>
  <si>
    <t>Turn Meter</t>
  </si>
  <si>
    <t>Fast Kill</t>
  </si>
  <si>
    <t>+/- (De)Buff</t>
  </si>
  <si>
    <t>Leach</t>
  </si>
  <si>
    <t>Epics x3</t>
  </si>
  <si>
    <t>Defeat 3 using Ally / Counter attack</t>
  </si>
  <si>
    <t>Ally/Counter</t>
  </si>
  <si>
    <t>Affinity</t>
  </si>
  <si>
    <t>Defeat 4 before their turn</t>
  </si>
  <si>
    <t>Extra Turn</t>
  </si>
  <si>
    <t>Healer</t>
  </si>
  <si>
    <t>Sigmund</t>
  </si>
  <si>
    <t>Key Champ</t>
  </si>
  <si>
    <t>Big Hit Dec Def</t>
  </si>
  <si>
    <t>Minaya / Lady Annabelle</t>
  </si>
  <si>
    <t>Minaya, Sethallia</t>
  </si>
  <si>
    <t>Staltus, Archmage Helmet</t>
  </si>
  <si>
    <t>Archmage Helmet</t>
  </si>
  <si>
    <t xml:space="preserve"> Archmage Helmet, Stag Knight</t>
  </si>
  <si>
    <t>Lady Annabelle</t>
  </si>
  <si>
    <t>Quintus</t>
  </si>
  <si>
    <t>Stag Knight, Quintus</t>
  </si>
  <si>
    <t>Minaya, Raglin, Ursala</t>
  </si>
  <si>
    <t>Seneshal, Spymaster, Riscarm</t>
  </si>
  <si>
    <t>Raglin, Quintus, Baron, Warcaster</t>
  </si>
  <si>
    <t>Ursala, Chevalier</t>
  </si>
  <si>
    <t>Septimus, Hordin</t>
  </si>
  <si>
    <t>Raglin, Minaya, Sethallia</t>
  </si>
  <si>
    <t>Heal 500000</t>
  </si>
  <si>
    <t>Heal</t>
  </si>
  <si>
    <t>Arbiter</t>
  </si>
  <si>
    <t>Freeze 10</t>
  </si>
  <si>
    <t>Freeze</t>
  </si>
  <si>
    <t>Stun 10</t>
  </si>
  <si>
    <t>Reduce 6 enemies HP by 50%</t>
  </si>
  <si>
    <t>Royal Huntsman, Aleksandr</t>
  </si>
  <si>
    <t>Tayrel, Neldor</t>
  </si>
  <si>
    <t>Royal Guard, Tayrel</t>
  </si>
  <si>
    <t>Manipulate Turn Meter 40 Times</t>
  </si>
  <si>
    <t>Basileus</t>
  </si>
  <si>
    <t>Andryssia</t>
  </si>
  <si>
    <t>Arbiter, Shirimani, Thenasil</t>
  </si>
  <si>
    <t>Heal 1m</t>
  </si>
  <si>
    <t>Freeze 15</t>
  </si>
  <si>
    <t>Epic x3</t>
  </si>
  <si>
    <t>Tortura, Shirimani, Neldor, Tayrel</t>
  </si>
  <si>
    <t>Stun 15</t>
  </si>
  <si>
    <t>Defeat all with no buffs</t>
  </si>
  <si>
    <t>Debuffer</t>
  </si>
  <si>
    <t>Reduce 9 enemies HP by 50%</t>
  </si>
  <si>
    <t>150 Turns</t>
  </si>
  <si>
    <t>Extra turn  5 times</t>
  </si>
  <si>
    <t>Yannica</t>
  </si>
  <si>
    <t>Arbiter, Heiress</t>
  </si>
  <si>
    <t>Alive All times</t>
  </si>
  <si>
    <t>No Revive</t>
  </si>
  <si>
    <t>Tortura</t>
  </si>
  <si>
    <t xml:space="preserve">Ilysinya </t>
  </si>
  <si>
    <t>No Weak hits</t>
  </si>
  <si>
    <t xml:space="preserve">Arbiter, Lethelin, Thensil, Skeuramis </t>
  </si>
  <si>
    <t>Defeat 3 when having 7 Buff</t>
  </si>
  <si>
    <t>Pyxniel - Cont Heal</t>
  </si>
  <si>
    <t>Andryssia ?</t>
  </si>
  <si>
    <t>Poison</t>
  </si>
  <si>
    <t>HP Burn</t>
  </si>
  <si>
    <t xml:space="preserve">Luthiea </t>
  </si>
  <si>
    <t>To build</t>
  </si>
  <si>
    <t>Martyr, Wixwell</t>
  </si>
  <si>
    <t>Aothar</t>
  </si>
  <si>
    <t>Artor in Stun set</t>
  </si>
  <si>
    <t>Alice</t>
  </si>
  <si>
    <t>Sigmund, Valerie, Septimus</t>
  </si>
  <si>
    <t>Skeuramis, Heiress, Hyria</t>
  </si>
  <si>
    <t>file='BA.png'</t>
  </si>
  <si>
    <t>Stage 11 Place 15+ Provoke debuffs</t>
  </si>
  <si>
    <t>Stage 18 Get an Extra Turn 5+ times</t>
  </si>
  <si>
    <t>file='BL.png'</t>
  </si>
  <si>
    <t>file='DE.png'</t>
  </si>
  <si>
    <t>file='DS.png'</t>
  </si>
  <si>
    <t>file='DW.png'</t>
  </si>
  <si>
    <t>file='HE.png'</t>
  </si>
  <si>
    <t>file='KR.png'</t>
  </si>
  <si>
    <t>file='LZ.png'</t>
  </si>
  <si>
    <t>file='OR.png'</t>
  </si>
  <si>
    <t>file='OT.png'</t>
  </si>
  <si>
    <t>file='SK.png'</t>
  </si>
  <si>
    <t>file='SO.png'</t>
  </si>
  <si>
    <t>file='SW.png'</t>
  </si>
  <si>
    <t>file='SY.png'</t>
  </si>
  <si>
    <t>file='UH.png'</t>
  </si>
  <si>
    <t>None</t>
  </si>
  <si>
    <t xml:space="preserve">Stage 2 Place 10+ Provoke debuffs </t>
  </si>
  <si>
    <t xml:space="preserve">Stage 3 Place 10+ Stun debuffs </t>
  </si>
  <si>
    <t xml:space="preserve">Stage 4 Manipulate buff or debuff duration 20+ times </t>
  </si>
  <si>
    <t xml:space="preserve">Stage 7 Clear  in 100 turns </t>
  </si>
  <si>
    <t xml:space="preserve">Stage 9 Place 15+ Provoke debuffs </t>
  </si>
  <si>
    <t xml:space="preserve">Stage 10 Use at least 3 Epic Champions </t>
  </si>
  <si>
    <t xml:space="preserve">Stage 12 Place 15+ Stun debuffs </t>
  </si>
  <si>
    <t xml:space="preserve">Stage 13 Do not receive more than 10 debuffs </t>
  </si>
  <si>
    <t xml:space="preserve">Stage 15 Beat  with all Champions alive at all times </t>
  </si>
  <si>
    <t xml:space="preserve">Stage 19 Get an Extra Turn 5+ times </t>
  </si>
  <si>
    <t xml:space="preserve">Stage 1 Place 20+ Poison debuffs </t>
  </si>
  <si>
    <t xml:space="preserve">Stage 2 Place 10+ Freeze debuffs </t>
  </si>
  <si>
    <t xml:space="preserve">Stage 3 Place 10+ Provoke debuffs </t>
  </si>
  <si>
    <t xml:space="preserve">Stage 4 Place 10+ Sleep debuffs </t>
  </si>
  <si>
    <t xml:space="preserve">Stage 6 Manipulate Turn Meters 40+ times </t>
  </si>
  <si>
    <t xml:space="preserve">Stage 9 Place 15+ Freeze debuffs </t>
  </si>
  <si>
    <t xml:space="preserve">Stage 11 Place 15+ Provoke debuffs </t>
  </si>
  <si>
    <t xml:space="preserve">Stage 12 Manipulate skill cooldowns 15+ times </t>
  </si>
  <si>
    <t xml:space="preserve">Stage 16 Place 10+ Block Revive debuffs </t>
  </si>
  <si>
    <t xml:space="preserve">Stage 1 Place 10+ HP Burn debuffs </t>
  </si>
  <si>
    <t xml:space="preserve">Stage 3 Place 20+ Poison debuffs </t>
  </si>
  <si>
    <t xml:space="preserve">Stage 5 Place 10+ Stun debuffs </t>
  </si>
  <si>
    <t xml:space="preserve">Stage 8 Place 15+ HP Burn debuffs </t>
  </si>
  <si>
    <t xml:space="preserve">Stage 13 Place 15+ Stun debuffs </t>
  </si>
  <si>
    <t xml:space="preserve">Stage 19 Place 10+ Block Revive debuffs </t>
  </si>
  <si>
    <t xml:space="preserve">Stage 5 Manipulate buff or debuff duration 20+ times </t>
  </si>
  <si>
    <t xml:space="preserve">Stage 8 Heal your Champions HP by 1000000+ </t>
  </si>
  <si>
    <t xml:space="preserve">Stage 2 Place 20+ Poison debuffs </t>
  </si>
  <si>
    <t xml:space="preserve">Stage 5 Place 10+ HP Burn debuffs </t>
  </si>
  <si>
    <t xml:space="preserve">Stage 8 Place 15+ Provoke debuffs </t>
  </si>
  <si>
    <t xml:space="preserve">Stage 13 Place 15+ HP Burn debuffs </t>
  </si>
  <si>
    <t xml:space="preserve">Stage 14 Clear  in 150 turns </t>
  </si>
  <si>
    <t xml:space="preserve">Stage 16 Get an Extra Turn 5+ times </t>
  </si>
  <si>
    <t xml:space="preserve">Stage 2 Place 10+ Stun debuffs </t>
  </si>
  <si>
    <t xml:space="preserve">Stage 3 Manipulate buff or debuff duration 20+ times </t>
  </si>
  <si>
    <t xml:space="preserve">Stage 4 Place 10+ Provoke debuffs </t>
  </si>
  <si>
    <t xml:space="preserve">Stage 8 Place 15+ Stun debuffs </t>
  </si>
  <si>
    <t xml:space="preserve">Stage 11 Manipulate buff or debuff duration 30+ times </t>
  </si>
  <si>
    <t xml:space="preserve">Stage 1 Heal your Champions HP by 500000+ </t>
  </si>
  <si>
    <t xml:space="preserve">Stage 3 Place 10+ Decrease SPD debuffs </t>
  </si>
  <si>
    <t xml:space="preserve">Stage 5 Manipulate skill cooldowns 10+ times </t>
  </si>
  <si>
    <t xml:space="preserve">Stage 11 Manipulate Turn Meters 60+ times </t>
  </si>
  <si>
    <t xml:space="preserve">Stage 18 Place 4+ Taunt buffs </t>
  </si>
  <si>
    <t xml:space="preserve">Stage 1 Place 10+ Stun debuffs </t>
  </si>
  <si>
    <t xml:space="preserve">Stage 3 Place 10+ Freeze debuffs </t>
  </si>
  <si>
    <t xml:space="preserve">Stage 4 Place 5+ HP Burn debuffs </t>
  </si>
  <si>
    <t xml:space="preserve">Stage 8 Place 10+ HP Burn debuffs </t>
  </si>
  <si>
    <t xml:space="preserve">Stage 9 Place 15+ Stun debuffs </t>
  </si>
  <si>
    <t xml:space="preserve">Stage 18 Get an Extra Turn 5+ times </t>
  </si>
  <si>
    <t xml:space="preserve">Stage 4 Place 10+ Freeze debuffs </t>
  </si>
  <si>
    <t xml:space="preserve">Stage 11 Place 15+ Stun debuffs </t>
  </si>
  <si>
    <t xml:space="preserve">Stage 4 Manipulate skill cooldowns 10+ times </t>
  </si>
  <si>
    <t xml:space="preserve">Stage 13 Manipulate buff or debuff duration 30+ times </t>
  </si>
  <si>
    <t xml:space="preserve">Stage 1 Place 10+ Provoke debuffs </t>
  </si>
  <si>
    <t xml:space="preserve">Stage 12 Place 15+ HP Burn debuffs </t>
  </si>
  <si>
    <t xml:space="preserve">Stage 3 Place 10+ HP Burn debuffs </t>
  </si>
  <si>
    <t xml:space="preserve">Stage 5 Place 10+ Sleep debuffs </t>
  </si>
  <si>
    <t xml:space="preserve">Stage 12 Place 15+ Provoke debuffs </t>
  </si>
  <si>
    <t xml:space="preserve">Stage 13 Place 15+ Sleep debuffs </t>
  </si>
  <si>
    <t xml:space="preserve">Stage 10  Use at least 3 Epic Champions </t>
  </si>
  <si>
    <t>stage</t>
  </si>
  <si>
    <t>condition</t>
  </si>
  <si>
    <t>Staged</t>
  </si>
  <si>
    <t>code</t>
  </si>
  <si>
    <t>Place 10+ Stun debuffs</t>
  </si>
  <si>
    <t>Place 10+ Provoke debuffs</t>
  </si>
  <si>
    <t>Place 10+ Freeze debuffs</t>
  </si>
  <si>
    <t>Place 5+ HP Burn debuffs</t>
  </si>
  <si>
    <t>Manipulate skill cooldowns 10+ times</t>
  </si>
  <si>
    <t>Manipulate Turn Meters 40+ times</t>
  </si>
  <si>
    <t>Clear in 100 turns</t>
  </si>
  <si>
    <t>Place 10+ HP Burn debuffs</t>
  </si>
  <si>
    <t>Place 15+ Stun debuffs</t>
  </si>
  <si>
    <t>Use at least 3 Epic Champions</t>
  </si>
  <si>
    <t>Place 15+ Provoke debuffs</t>
  </si>
  <si>
    <t>Do not receive more than 10 debuffs</t>
  </si>
  <si>
    <t>Clear in 150 turns</t>
  </si>
  <si>
    <t>Get an Extra Turn 5+ times</t>
  </si>
  <si>
    <t>Manipulate buff or debuff duration 20+ times</t>
  </si>
  <si>
    <t>Beat with all Champions alive at all times</t>
  </si>
  <si>
    <t>Place 20+ Poison debuffs</t>
  </si>
  <si>
    <t>Place 10+ Sleep debuffs</t>
  </si>
  <si>
    <t>Place 15+ Freeze debuffs</t>
  </si>
  <si>
    <t>Manipulate skill cooldowns 15+ times</t>
  </si>
  <si>
    <t>Place 10+ Block Revive debuffs</t>
  </si>
  <si>
    <t>Place 15+ HP Burn debuffs</t>
  </si>
  <si>
    <t>Heal your Champions HP by 500000+</t>
  </si>
  <si>
    <t>Heal your Champions HP by 1000000+</t>
  </si>
  <si>
    <t>Manipulate buff or debuff duration 30+ times</t>
  </si>
  <si>
    <t>Place 10+ Decrease SPD debuffs</t>
  </si>
  <si>
    <t>Manipulate Turn Meters 60+ times</t>
  </si>
  <si>
    <t>Place 4+ Taunt buffs</t>
  </si>
  <si>
    <t>Place 15+ Sleep debuffs</t>
  </si>
  <si>
    <t>Stage 15 Beat  with all Champions alive at all times</t>
  </si>
  <si>
    <t>Stage 13 Manipulate skill cooldowns 15+ times</t>
  </si>
  <si>
    <t xml:space="preserve">Stage 12 Manipulate buff or debuff duration 30+ times </t>
  </si>
  <si>
    <t>Stage 14 Clear  in 150 turns</t>
  </si>
  <si>
    <t xml:space="preserve">Stage 17 Dont land any weak hits </t>
  </si>
  <si>
    <t>Stage 20 Keep all your Champions HP above 75%</t>
  </si>
  <si>
    <t>Bombs</t>
  </si>
  <si>
    <t>Hex</t>
  </si>
  <si>
    <t>Fear</t>
  </si>
  <si>
    <t>Skill</t>
  </si>
  <si>
    <t>Veil</t>
  </si>
  <si>
    <t>Buffer</t>
  </si>
  <si>
    <t>TM or Fast Kill</t>
  </si>
  <si>
    <t>Block Heal</t>
  </si>
  <si>
    <t>Inc. Coldown</t>
  </si>
  <si>
    <t>Block Revive</t>
  </si>
  <si>
    <t>Healer/Shield/Block Damage</t>
  </si>
  <si>
    <t>De/Buff +/-</t>
  </si>
  <si>
    <t>Cooldown +/-</t>
  </si>
  <si>
    <t>Stage 9 Manipulate skill cooldowns 15+ times</t>
  </si>
  <si>
    <t>TM +/-</t>
  </si>
  <si>
    <t>Sleep</t>
  </si>
  <si>
    <t>Dec SPD</t>
  </si>
  <si>
    <t>HP  Burn</t>
  </si>
  <si>
    <t>Taunt</t>
  </si>
  <si>
    <t>AOE Hard Hit</t>
  </si>
  <si>
    <t>Dont land any weak hits</t>
  </si>
  <si>
    <t>Keep all your Champions HP above 75%</t>
  </si>
  <si>
    <t>Defeat 3+ using Ally Attack skills or counterattacks</t>
  </si>
  <si>
    <t xml:space="preserve">Stage 12 Defeat 3+ using Ally Attack skills or counterattacks </t>
  </si>
  <si>
    <t xml:space="preserve">Stage 19 Defeat 4+ before they take a turn </t>
  </si>
  <si>
    <t xml:space="preserve">Stage 1 Reduce 6+ HP by 50% with one skill </t>
  </si>
  <si>
    <t xml:space="preserve">Stage 5 Land 40+ hits on while they are under Leech debuffs </t>
  </si>
  <si>
    <t xml:space="preserve">Stage 8 Reduce 9+ HP by 50% with one skill </t>
  </si>
  <si>
    <t xml:space="preserve">Stage 11 Defeat all when they have no buffs on them </t>
  </si>
  <si>
    <t xml:space="preserve">Stage 16 Defeat 3+ using Ally Attack skills or counterattacks </t>
  </si>
  <si>
    <t xml:space="preserve">Stage 18 Defeat 4+ before they take a turn </t>
  </si>
  <si>
    <t xml:space="preserve">Stage 5 Defeat 6+ while theyre under Hex debuffs </t>
  </si>
  <si>
    <t xml:space="preserve">Stage 8 Defeat all when they have no buffs on them </t>
  </si>
  <si>
    <t xml:space="preserve">Stage 18 Defeat 10+ while your Champions are under Perfect Veil </t>
  </si>
  <si>
    <t xml:space="preserve">Stage 19 Defeat 3+ while theyre under 10 debuffs </t>
  </si>
  <si>
    <t xml:space="preserve">Stage 4 Defeat 5+ using Bomb debuffs </t>
  </si>
  <si>
    <t xml:space="preserve">Stage 9 Defeat 10+ using Bomb debuffs </t>
  </si>
  <si>
    <t>Stage 20 Defeat 4+ before they take a turn</t>
  </si>
  <si>
    <t>Stage 5 Reduce 6+ HP by 50% with one skill</t>
  </si>
  <si>
    <t xml:space="preserve">Stage 12 Defeat all when they have no buffs on them </t>
  </si>
  <si>
    <t xml:space="preserve">Stage 19 Defeat 3+ while your Champions are under 7 or more buffs </t>
  </si>
  <si>
    <t>Stage 4 Reduce 6+ HP by 50% with one skill</t>
  </si>
  <si>
    <t xml:space="preserve">Stage 13 Reduce 9+ HP by 50% with one skill </t>
  </si>
  <si>
    <t xml:space="preserve">Stage 19 Defeat 3+ using Ally Attack skills or counterattacks </t>
  </si>
  <si>
    <t>Stage 20 Defeat 3+ while your Champions are under 7 or more buffs</t>
  </si>
  <si>
    <t xml:space="preserve">Stage 16 Defeat 10+ while they are under Fear/True Fear debuffs </t>
  </si>
  <si>
    <t xml:space="preserve">Stage 18 Defeat 3+ while theyre under 10 debuffs </t>
  </si>
  <si>
    <t xml:space="preserve">Stage 5 Reduce 6+ HP by 50% with one skill </t>
  </si>
  <si>
    <t>Stage 13 Reduce 9+ HP by 50% with one skill</t>
  </si>
  <si>
    <t xml:space="preserve">Stage 3 Reduce 6+ HP by 50% with one skill </t>
  </si>
  <si>
    <t xml:space="preserve">Stage 13 Defeat 3+ using Ally Attack skills or counterattacks </t>
  </si>
  <si>
    <t xml:space="preserve">Stage 16 Defeat 4+ before they take a turn </t>
  </si>
  <si>
    <t xml:space="preserve">Stage 18 Defeat 3+ while your Champions are under 7 or more buffs </t>
  </si>
  <si>
    <t xml:space="preserve">Stage 5  Land 40+ hits on while they are under Leech debuffs </t>
  </si>
  <si>
    <t xml:space="preserve">Stage 11 Defeat 10+ using Bomb debuffs </t>
  </si>
  <si>
    <t xml:space="preserve">Stage 13 Defeat all when they have no buffs on them </t>
  </si>
  <si>
    <t xml:space="preserve">Stage 11 Land 60+ hits on while they are under Leech debuffs </t>
  </si>
  <si>
    <t xml:space="preserve">Stage 16 Defeat 10+ while your Champions are under Perfect Veil </t>
  </si>
  <si>
    <t xml:space="preserve">Stage 4 Reduce 6+ HP by 50% with one skill </t>
  </si>
  <si>
    <t xml:space="preserve">Stage 9 Defeat 3+ using Ally Attack skills or counterattacks </t>
  </si>
  <si>
    <t xml:space="preserve">Stage 11 Reduce 9+ HP by 50% with one skill </t>
  </si>
  <si>
    <t>Stage 20 Defeat 3+ while theyre under 10 debuffs</t>
  </si>
  <si>
    <t xml:space="preserve">Stage 2 Land 40+ hits on while they are under Leech debuffs </t>
  </si>
  <si>
    <t xml:space="preserve">Stage 8 Land 60+ hits on while they are under Leech debuffs </t>
  </si>
  <si>
    <t xml:space="preserve">Stage 9 Defeat all when they have no buffs on them </t>
  </si>
  <si>
    <t xml:space="preserve">Stage 18 Defeat 10+ while they are under Fear/True Fear debuffs </t>
  </si>
  <si>
    <t>Reduce 6+ HP by 50% with one skill</t>
  </si>
  <si>
    <t>Land 40+ hits on while they are under Leech debuffs</t>
  </si>
  <si>
    <t>Reduce 9+ HP by 50% with one skill</t>
  </si>
  <si>
    <t>Defeat all when they have no buffs on them</t>
  </si>
  <si>
    <t>Defeat 4+ before they take a turn</t>
  </si>
  <si>
    <t>lookup</t>
  </si>
  <si>
    <t>Dont let your use any active skills</t>
  </si>
  <si>
    <t>Defeat 6+ while theyre under Hex debuffs</t>
  </si>
  <si>
    <t>Dont let your heal</t>
  </si>
  <si>
    <t>Defeat 3+ while theyre under 10 debuffs</t>
  </si>
  <si>
    <t>Defeat 10+ while your Champions are under Perfect Veil</t>
  </si>
  <si>
    <t>Defeat 10+ using Bomb debuffs</t>
  </si>
  <si>
    <t>Defeat 5+ using Bomb debuffs</t>
  </si>
  <si>
    <t>Defeat 3+ while your Champions are under 7 or more buffs</t>
  </si>
  <si>
    <t>Defeat 10+ while they are under Fear/True Fear debuffs</t>
  </si>
  <si>
    <t>Land 60+ hits on while they are under Leech debuffs</t>
  </si>
  <si>
    <t>Sum</t>
  </si>
  <si>
    <t>Average</t>
  </si>
  <si>
    <t>Running Total</t>
  </si>
  <si>
    <t>Count</t>
  </si>
  <si>
    <t xml:space="preserve">Stage 16 Dont let enemies use any active skills </t>
  </si>
  <si>
    <t xml:space="preserve">Stage 19 Dont let enemies use any active skills </t>
  </si>
  <si>
    <t>Stage 20 Dont let enemies use any active skills</t>
  </si>
  <si>
    <t>Stage 20 Dont let enemies heal</t>
  </si>
  <si>
    <t>Strip/Block Buffs</t>
  </si>
  <si>
    <t>Block Buffs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</si>
</sst>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horizontal="center" wrapText="1"/>
    </xf>
    <xf numFmtId="0" fontId="0" fillId="0" borderId="9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quotePrefix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0" borderId="6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9" xfId="0" applyBorder="1" applyAlignme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1</xdr:row>
          <xdr:rowOff>137160</xdr:rowOff>
        </xdr:from>
        <xdr:to>
          <xdr:col>7</xdr:col>
          <xdr:colOff>45720</xdr:colOff>
          <xdr:row>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4</xdr:row>
          <xdr:rowOff>83820</xdr:rowOff>
        </xdr:from>
        <xdr:to>
          <xdr:col>7</xdr:col>
          <xdr:colOff>45720</xdr:colOff>
          <xdr:row>6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uja\Dropbox\RSL\General.xlsm" TargetMode="External"/><Relationship Id="rId1" Type="http://schemas.openxmlformats.org/officeDocument/2006/relationships/externalLinkPath" Target="General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uja\Dropbox\RSL\Summon.xlsx" TargetMode="External"/><Relationship Id="rId1" Type="http://schemas.openxmlformats.org/officeDocument/2006/relationships/externalLinkPath" Target="Summon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69f42009022999a/projplan.xlsx" TargetMode="External"/><Relationship Id="rId1" Type="http://schemas.openxmlformats.org/officeDocument/2006/relationships/externalLinkPath" Target="https://d.docs.live.net/b69f42009022999a/projpl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ege"/>
      <sheetName val="LiveDaily"/>
      <sheetName val="TmpCalcs"/>
      <sheetName val="Leveling"/>
      <sheetName val="Arena"/>
      <sheetName val="AreaBonus"/>
      <sheetName val="Acc0 Cleanup"/>
      <sheetName val="Evt Dungeon"/>
      <sheetName val="Sheet1"/>
      <sheetName val="Gear Tiers"/>
      <sheetName val="GT Reduce"/>
      <sheetName val="GT Map"/>
      <sheetName val="Cv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J1" t="str">
            <v>S++</v>
          </cell>
          <cell r="K1">
            <v>100</v>
          </cell>
        </row>
        <row r="2">
          <cell r="J2" t="str">
            <v>S+</v>
          </cell>
          <cell r="K2">
            <v>90</v>
          </cell>
        </row>
        <row r="3">
          <cell r="J3" t="str">
            <v>S</v>
          </cell>
          <cell r="K3">
            <v>80</v>
          </cell>
        </row>
        <row r="4">
          <cell r="J4" t="str">
            <v>A</v>
          </cell>
          <cell r="K4">
            <v>70</v>
          </cell>
        </row>
        <row r="5">
          <cell r="J5" t="str">
            <v>B</v>
          </cell>
          <cell r="K5">
            <v>60</v>
          </cell>
        </row>
        <row r="6">
          <cell r="J6" t="str">
            <v>C</v>
          </cell>
          <cell r="K6">
            <v>50</v>
          </cell>
        </row>
        <row r="7">
          <cell r="J7" t="str">
            <v>D</v>
          </cell>
          <cell r="K7">
            <v>40</v>
          </cell>
        </row>
        <row r="8">
          <cell r="J8" t="str">
            <v>E</v>
          </cell>
          <cell r="K8">
            <v>30</v>
          </cell>
        </row>
        <row r="9">
          <cell r="J9" t="str">
            <v>F</v>
          </cell>
          <cell r="K9">
            <v>20</v>
          </cell>
        </row>
      </sheetData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_account_keys"/>
      <sheetName val="Soul DoF"/>
      <sheetName val="Summon"/>
      <sheetName val="Deck Of Fate"/>
      <sheetName val="Chase"/>
      <sheetName val="Soul Summon"/>
      <sheetName val="Soul"/>
      <sheetName val="Levelling"/>
      <sheetName val="Sheet1"/>
      <sheetName val="PathOfClover"/>
    </sheetNames>
    <sheetDataSet>
      <sheetData sheetId="0">
        <row r="17">
          <cell r="L17" t="str">
            <v>Mystery</v>
          </cell>
          <cell r="M17" t="str">
            <v>Summon: Mystery</v>
          </cell>
        </row>
        <row r="18">
          <cell r="L18" t="str">
            <v>Ancient</v>
          </cell>
          <cell r="M18" t="str">
            <v>Summon: Ancient</v>
          </cell>
        </row>
        <row r="19">
          <cell r="L19" t="str">
            <v>Void</v>
          </cell>
          <cell r="M19" t="str">
            <v>Summon: Void</v>
          </cell>
        </row>
        <row r="20">
          <cell r="L20" t="str">
            <v>Primal</v>
          </cell>
          <cell r="M20" t="str">
            <v>Summon: Primal</v>
          </cell>
        </row>
        <row r="21">
          <cell r="L21" t="str">
            <v>Sacred</v>
          </cell>
          <cell r="M21" t="str">
            <v>Summon: Sacred</v>
          </cell>
        </row>
        <row r="22">
          <cell r="L22" t="str">
            <v>Remnant</v>
          </cell>
          <cell r="M22" t="str">
            <v>Summon: Remnant</v>
          </cell>
        </row>
        <row r="23">
          <cell r="L23" t="str">
            <v>Crystal</v>
          </cell>
          <cell r="M23" t="str">
            <v>Summon: Crystal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tings"/>
      <sheetName val="Gantt"/>
      <sheetName val="Sheet1"/>
      <sheetName val="Sheet1 (2)"/>
      <sheetName val="marius"/>
      <sheetName val="Sheet3"/>
    </sheetNames>
    <sheetDataSet>
      <sheetData sheetId="0">
        <row r="2">
          <cell r="A2" t="str">
            <v>E</v>
          </cell>
        </row>
        <row r="3">
          <cell r="A3" t="str">
            <v>T</v>
          </cell>
        </row>
      </sheetData>
      <sheetData sheetId="1">
        <row r="2">
          <cell r="R2">
            <v>45370</v>
          </cell>
        </row>
      </sheetData>
      <sheetData sheetId="2" refreshError="1"/>
      <sheetData sheetId="3" refreshError="1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447F2-2102-4267-88E9-7027EEBF6C94}">
  <sheetPr codeName="Sheet3"/>
  <dimension ref="A1:J17"/>
  <sheetViews>
    <sheetView workbookViewId="0">
      <selection activeCell="K19" sqref="K19"/>
    </sheetView>
  </sheetViews>
  <sheetFormatPr defaultRowHeight="14.4" x14ac:dyDescent="0.3"/>
  <cols>
    <col min="1" max="2" width="11.33203125" bestFit="1" customWidth="1"/>
    <col min="3" max="3" width="19.21875" customWidth="1"/>
  </cols>
  <sheetData>
    <row r="1" spans="1:10" x14ac:dyDescent="0.3">
      <c r="A1" t="s">
        <v>139</v>
      </c>
      <c r="B1" t="s">
        <v>58</v>
      </c>
      <c r="C1" t="s">
        <v>59</v>
      </c>
      <c r="D1" t="s">
        <v>60</v>
      </c>
    </row>
    <row r="2" spans="1:10" x14ac:dyDescent="0.3">
      <c r="B2" t="s">
        <v>13</v>
      </c>
      <c r="C2" t="s">
        <v>43</v>
      </c>
      <c r="D2" t="s">
        <v>61</v>
      </c>
    </row>
    <row r="3" spans="1:10" x14ac:dyDescent="0.3">
      <c r="B3" t="s">
        <v>9</v>
      </c>
      <c r="C3" t="s">
        <v>46</v>
      </c>
      <c r="D3" t="s">
        <v>61</v>
      </c>
    </row>
    <row r="4" spans="1:10" x14ac:dyDescent="0.3">
      <c r="A4" t="s">
        <v>3</v>
      </c>
      <c r="B4" t="s">
        <v>3</v>
      </c>
      <c r="C4" t="s">
        <v>52</v>
      </c>
      <c r="D4" t="s">
        <v>61</v>
      </c>
    </row>
    <row r="5" spans="1:10" x14ac:dyDescent="0.3">
      <c r="A5" t="s">
        <v>14</v>
      </c>
      <c r="B5" t="s">
        <v>14</v>
      </c>
      <c r="C5" t="s">
        <v>42</v>
      </c>
      <c r="D5" t="s">
        <v>61</v>
      </c>
    </row>
    <row r="6" spans="1:10" x14ac:dyDescent="0.3">
      <c r="A6" t="s">
        <v>5</v>
      </c>
      <c r="B6" t="s">
        <v>5</v>
      </c>
      <c r="C6" t="s">
        <v>51</v>
      </c>
      <c r="D6" t="s">
        <v>65</v>
      </c>
    </row>
    <row r="7" spans="1:10" x14ac:dyDescent="0.3">
      <c r="A7" t="s">
        <v>7</v>
      </c>
      <c r="B7" t="s">
        <v>7</v>
      </c>
      <c r="C7" t="s">
        <v>47</v>
      </c>
      <c r="D7" t="s">
        <v>65</v>
      </c>
    </row>
    <row r="8" spans="1:10" x14ac:dyDescent="0.3">
      <c r="A8" t="s">
        <v>2</v>
      </c>
      <c r="B8" t="s">
        <v>2</v>
      </c>
      <c r="C8" t="s">
        <v>44</v>
      </c>
      <c r="D8" t="s">
        <v>65</v>
      </c>
    </row>
    <row r="9" spans="1:10" x14ac:dyDescent="0.3">
      <c r="A9" t="s">
        <v>6</v>
      </c>
      <c r="B9" t="s">
        <v>6</v>
      </c>
      <c r="C9" t="s">
        <v>49</v>
      </c>
      <c r="D9" t="s">
        <v>65</v>
      </c>
    </row>
    <row r="10" spans="1:10" x14ac:dyDescent="0.3">
      <c r="A10" t="s">
        <v>11</v>
      </c>
      <c r="B10" t="s">
        <v>11</v>
      </c>
      <c r="C10" t="s">
        <v>45</v>
      </c>
      <c r="D10" t="s">
        <v>62</v>
      </c>
    </row>
    <row r="11" spans="1:10" x14ac:dyDescent="0.3">
      <c r="A11" t="s">
        <v>0</v>
      </c>
      <c r="B11" t="s">
        <v>0</v>
      </c>
      <c r="C11" t="s">
        <v>48</v>
      </c>
      <c r="D11" t="s">
        <v>62</v>
      </c>
      <c r="J11" t="s">
        <v>66</v>
      </c>
    </row>
    <row r="12" spans="1:10" x14ac:dyDescent="0.3">
      <c r="A12" t="s">
        <v>12</v>
      </c>
      <c r="B12" t="s">
        <v>12</v>
      </c>
      <c r="C12" t="s">
        <v>54</v>
      </c>
      <c r="D12" t="s">
        <v>62</v>
      </c>
    </row>
    <row r="13" spans="1:10" x14ac:dyDescent="0.3">
      <c r="A13" t="s">
        <v>8</v>
      </c>
      <c r="B13" t="s">
        <v>8</v>
      </c>
      <c r="C13" t="s">
        <v>50</v>
      </c>
      <c r="D13" t="s">
        <v>62</v>
      </c>
    </row>
    <row r="14" spans="1:10" x14ac:dyDescent="0.3">
      <c r="A14" t="s">
        <v>10</v>
      </c>
      <c r="B14" t="s">
        <v>10</v>
      </c>
      <c r="C14" t="s">
        <v>53</v>
      </c>
      <c r="D14" t="s">
        <v>63</v>
      </c>
    </row>
    <row r="15" spans="1:10" x14ac:dyDescent="0.3">
      <c r="A15" t="s">
        <v>4</v>
      </c>
      <c r="B15" t="s">
        <v>4</v>
      </c>
      <c r="C15" t="s">
        <v>55</v>
      </c>
      <c r="D15" t="s">
        <v>63</v>
      </c>
    </row>
    <row r="16" spans="1:10" x14ac:dyDescent="0.3">
      <c r="A16" t="s">
        <v>1</v>
      </c>
      <c r="B16" t="s">
        <v>1</v>
      </c>
      <c r="C16" t="s">
        <v>56</v>
      </c>
      <c r="D16" t="s">
        <v>63</v>
      </c>
    </row>
    <row r="17" spans="1:4" x14ac:dyDescent="0.3">
      <c r="A17" t="s">
        <v>64</v>
      </c>
      <c r="B17" t="s">
        <v>64</v>
      </c>
      <c r="C17" t="s">
        <v>57</v>
      </c>
      <c r="D17" t="s">
        <v>63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SheetsFromRange">
                <anchor moveWithCells="1" sizeWithCells="1">
                  <from>
                    <xdr:col>5</xdr:col>
                    <xdr:colOff>403860</xdr:colOff>
                    <xdr:row>1</xdr:row>
                    <xdr:rowOff>137160</xdr:rowOff>
                  </from>
                  <to>
                    <xdr:col>7</xdr:col>
                    <xdr:colOff>45720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SheetsFromRange">
                <anchor moveWithCells="1" sizeWithCells="1">
                  <from>
                    <xdr:col>5</xdr:col>
                    <xdr:colOff>403860</xdr:colOff>
                    <xdr:row>4</xdr:row>
                    <xdr:rowOff>83820</xdr:rowOff>
                  </from>
                  <to>
                    <xdr:col>7</xdr:col>
                    <xdr:colOff>45720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1C27C-4807-451D-83D2-9033C9D93902}">
  <sheetPr codeName="Sheet1"/>
  <dimension ref="A1:P332"/>
  <sheetViews>
    <sheetView tabSelected="1" topLeftCell="A272" workbookViewId="0">
      <selection activeCell="H303" sqref="H303"/>
    </sheetView>
  </sheetViews>
  <sheetFormatPr defaultRowHeight="14.4" x14ac:dyDescent="0.3"/>
  <cols>
    <col min="1" max="1" width="71" bestFit="1" customWidth="1"/>
    <col min="7" max="7" width="37.109375" customWidth="1"/>
    <col min="14" max="14" width="9" style="32" customWidth="1"/>
    <col min="15" max="15" width="63.21875" bestFit="1" customWidth="1"/>
    <col min="16" max="16" width="59.21875" customWidth="1"/>
  </cols>
  <sheetData>
    <row r="1" spans="1:16" x14ac:dyDescent="0.3">
      <c r="B1" t="s">
        <v>163</v>
      </c>
      <c r="C1" t="s">
        <v>40</v>
      </c>
      <c r="D1" t="s">
        <v>226</v>
      </c>
      <c r="G1" t="s">
        <v>225</v>
      </c>
      <c r="H1" t="s">
        <v>227</v>
      </c>
      <c r="I1" t="s">
        <v>224</v>
      </c>
      <c r="L1" t="s">
        <v>334</v>
      </c>
      <c r="M1" t="str">
        <f>H1</f>
        <v>code</v>
      </c>
      <c r="N1" s="32" t="str">
        <f>I1</f>
        <v>stage</v>
      </c>
      <c r="O1" t="str">
        <f>G1</f>
        <v>condition</v>
      </c>
      <c r="P1" t="s">
        <v>69</v>
      </c>
    </row>
    <row r="2" spans="1:16" x14ac:dyDescent="0.3">
      <c r="B2" t="str">
        <f>IF(LEFT(A2,5)="file=",MID(A2,7,2),B1)</f>
        <v>None</v>
      </c>
      <c r="C2">
        <f>IF(LEFT(A2,4)="Stag",INT(TRIM(MID(A2,7,2))), 0)</f>
        <v>0</v>
      </c>
      <c r="D2" t="str">
        <f>IF(C2&lt;&gt;0, INT(C2)=C1+1, "")</f>
        <v/>
      </c>
      <c r="G2" t="str" cm="1">
        <f t="array" ref="G2:J301">_xlfn._xlws.FILTER(A:D,D:D=TRUE,"")</f>
        <v xml:space="preserve">Stage 1 Place 10+ Stun debuffs </v>
      </c>
      <c r="H2" t="str">
        <v>BA</v>
      </c>
      <c r="I2">
        <v>1</v>
      </c>
      <c r="J2" t="b">
        <v>1</v>
      </c>
      <c r="L2" t="str">
        <f>M2&amp;N2</f>
        <v>BA1</v>
      </c>
      <c r="M2" t="str">
        <f t="shared" ref="M2:M65" si="0">H2</f>
        <v>BA</v>
      </c>
      <c r="N2" s="32">
        <f t="shared" ref="N2:N65" si="1">I2</f>
        <v>1</v>
      </c>
      <c r="O2" t="str">
        <f>TRIM(_xlfn.LET( _xlpm.x, FIND(" ", G2, 7),_xlpm.y,ISNUMBER(_xlpm.x), IF(_xlpm.y, MID(G2,_xlpm.x+1,99),"")))</f>
        <v>Place 10+ Stun debuffs</v>
      </c>
    </row>
    <row r="3" spans="1:16" x14ac:dyDescent="0.3">
      <c r="A3" t="s">
        <v>146</v>
      </c>
      <c r="B3" t="str">
        <f>IF(LEFT(A3,5)="file=",MID(A3,7,2),B2)</f>
        <v>BA</v>
      </c>
      <c r="C3">
        <f t="shared" ref="C3:C66" si="2">IF(LEFT(A3,4)="Stag",INT(TRIM(MID(A3,7,2))), 0)</f>
        <v>0</v>
      </c>
      <c r="D3" t="str">
        <f t="shared" ref="D3:D66" si="3">IF(C3&lt;&gt;0, INT(C3)=C2+1, "")</f>
        <v/>
      </c>
      <c r="G3" t="str">
        <v xml:space="preserve">Stage 2 Place 10+ Provoke debuffs </v>
      </c>
      <c r="H3" t="str">
        <v>BA</v>
      </c>
      <c r="I3">
        <v>2</v>
      </c>
      <c r="J3" t="b">
        <v>1</v>
      </c>
      <c r="L3" t="str">
        <f t="shared" ref="L3:L66" si="4">M3&amp;N3</f>
        <v>BA2</v>
      </c>
      <c r="M3" t="str">
        <f t="shared" si="0"/>
        <v>BA</v>
      </c>
      <c r="N3" s="32">
        <f t="shared" si="1"/>
        <v>2</v>
      </c>
      <c r="O3" t="str">
        <f t="shared" ref="O3:O66" si="5">TRIM(_xlfn.LET( _xlpm.x, FIND(" ", G3, 7),_xlpm.y,ISNUMBER(_xlpm.x), IF(_xlpm.y, MID(G3,_xlpm.x+1,99),"")))</f>
        <v>Place 10+ Provoke debuffs</v>
      </c>
    </row>
    <row r="4" spans="1:16" x14ac:dyDescent="0.3">
      <c r="B4" t="str">
        <f t="shared" ref="B4:B67" si="6">IF(LEFT(A4,5)="file=",MID(A4,7,2),B3)</f>
        <v>BA</v>
      </c>
      <c r="C4">
        <f t="shared" si="2"/>
        <v>0</v>
      </c>
      <c r="D4" t="str">
        <f t="shared" si="3"/>
        <v/>
      </c>
      <c r="G4" t="str">
        <v xml:space="preserve">Stage 3 Place 10+ Freeze debuffs </v>
      </c>
      <c r="H4" t="str">
        <v>BA</v>
      </c>
      <c r="I4">
        <v>3</v>
      </c>
      <c r="J4" t="b">
        <v>1</v>
      </c>
      <c r="L4" t="str">
        <f t="shared" si="4"/>
        <v>BA3</v>
      </c>
      <c r="M4" t="str">
        <f t="shared" si="0"/>
        <v>BA</v>
      </c>
      <c r="N4" s="32">
        <f t="shared" si="1"/>
        <v>3</v>
      </c>
      <c r="O4" t="str">
        <f t="shared" si="5"/>
        <v>Place 10+ Freeze debuffs</v>
      </c>
    </row>
    <row r="5" spans="1:16" x14ac:dyDescent="0.3">
      <c r="A5" t="s">
        <v>207</v>
      </c>
      <c r="B5" t="str">
        <f t="shared" si="6"/>
        <v>BA</v>
      </c>
      <c r="C5">
        <f t="shared" si="2"/>
        <v>1</v>
      </c>
      <c r="D5" t="b">
        <f t="shared" si="3"/>
        <v>1</v>
      </c>
      <c r="G5" t="str">
        <v xml:space="preserve">Stage 4 Place 5+ HP Burn debuffs </v>
      </c>
      <c r="H5" t="str">
        <v>BA</v>
      </c>
      <c r="I5">
        <v>4</v>
      </c>
      <c r="J5" t="b">
        <v>1</v>
      </c>
      <c r="L5" t="str">
        <f t="shared" si="4"/>
        <v>BA4</v>
      </c>
      <c r="M5" t="str">
        <f t="shared" si="0"/>
        <v>BA</v>
      </c>
      <c r="N5" s="32">
        <f t="shared" si="1"/>
        <v>4</v>
      </c>
      <c r="O5" t="str">
        <f t="shared" si="5"/>
        <v>Place 5+ HP Burn debuffs</v>
      </c>
    </row>
    <row r="6" spans="1:16" x14ac:dyDescent="0.3">
      <c r="A6" t="s">
        <v>164</v>
      </c>
      <c r="B6" t="str">
        <f t="shared" si="6"/>
        <v>BA</v>
      </c>
      <c r="C6">
        <f t="shared" si="2"/>
        <v>2</v>
      </c>
      <c r="D6" t="b">
        <f t="shared" si="3"/>
        <v>1</v>
      </c>
      <c r="G6" t="str">
        <v xml:space="preserve">Stage 5 Manipulate skill cooldowns 10+ times </v>
      </c>
      <c r="H6" t="str">
        <v>BA</v>
      </c>
      <c r="I6">
        <v>5</v>
      </c>
      <c r="J6" t="b">
        <v>1</v>
      </c>
      <c r="L6" t="str">
        <f t="shared" si="4"/>
        <v>BA5</v>
      </c>
      <c r="M6" t="str">
        <f t="shared" si="0"/>
        <v>BA</v>
      </c>
      <c r="N6" s="32">
        <f t="shared" si="1"/>
        <v>5</v>
      </c>
      <c r="O6" t="str">
        <f t="shared" si="5"/>
        <v>Manipulate skill cooldowns 10+ times</v>
      </c>
    </row>
    <row r="7" spans="1:16" x14ac:dyDescent="0.3">
      <c r="A7" t="s">
        <v>208</v>
      </c>
      <c r="B7" t="str">
        <f t="shared" si="6"/>
        <v>BA</v>
      </c>
      <c r="C7">
        <f t="shared" si="2"/>
        <v>3</v>
      </c>
      <c r="D7" t="b">
        <f t="shared" si="3"/>
        <v>1</v>
      </c>
      <c r="G7" t="str">
        <v xml:space="preserve">Stage 6 Manipulate Turn Meters 40+ times </v>
      </c>
      <c r="H7" t="str">
        <v>BA</v>
      </c>
      <c r="I7">
        <v>6</v>
      </c>
      <c r="J7" t="b">
        <v>1</v>
      </c>
      <c r="L7" t="str">
        <f t="shared" si="4"/>
        <v>BA6</v>
      </c>
      <c r="M7" t="str">
        <f t="shared" si="0"/>
        <v>BA</v>
      </c>
      <c r="N7" s="32">
        <f t="shared" si="1"/>
        <v>6</v>
      </c>
      <c r="O7" t="str">
        <f t="shared" si="5"/>
        <v>Manipulate Turn Meters 40+ times</v>
      </c>
    </row>
    <row r="8" spans="1:16" x14ac:dyDescent="0.3">
      <c r="A8" t="s">
        <v>209</v>
      </c>
      <c r="B8" t="str">
        <f t="shared" si="6"/>
        <v>BA</v>
      </c>
      <c r="C8">
        <f t="shared" si="2"/>
        <v>4</v>
      </c>
      <c r="D8" t="b">
        <f t="shared" si="3"/>
        <v>1</v>
      </c>
      <c r="G8" t="str">
        <v xml:space="preserve">Stage 7 Clear  in 100 turns </v>
      </c>
      <c r="H8" t="str">
        <v>BA</v>
      </c>
      <c r="I8">
        <v>7</v>
      </c>
      <c r="J8" t="b">
        <v>1</v>
      </c>
      <c r="L8" t="str">
        <f t="shared" si="4"/>
        <v>BA7</v>
      </c>
      <c r="M8" t="str">
        <f t="shared" si="0"/>
        <v>BA</v>
      </c>
      <c r="N8" s="32">
        <f t="shared" si="1"/>
        <v>7</v>
      </c>
      <c r="O8" t="str">
        <f t="shared" si="5"/>
        <v>Clear in 100 turns</v>
      </c>
    </row>
    <row r="9" spans="1:16" x14ac:dyDescent="0.3">
      <c r="A9" t="s">
        <v>204</v>
      </c>
      <c r="B9" t="str">
        <f t="shared" si="6"/>
        <v>BA</v>
      </c>
      <c r="C9">
        <f t="shared" si="2"/>
        <v>5</v>
      </c>
      <c r="D9" t="b">
        <f t="shared" si="3"/>
        <v>1</v>
      </c>
      <c r="G9" t="str">
        <v xml:space="preserve">Stage 8 Place 10+ HP Burn debuffs </v>
      </c>
      <c r="H9" t="str">
        <v>BA</v>
      </c>
      <c r="I9">
        <v>8</v>
      </c>
      <c r="J9" t="b">
        <v>1</v>
      </c>
      <c r="L9" t="str">
        <f t="shared" si="4"/>
        <v>BA8</v>
      </c>
      <c r="M9" t="str">
        <f t="shared" si="0"/>
        <v>BA</v>
      </c>
      <c r="N9" s="32">
        <f t="shared" si="1"/>
        <v>8</v>
      </c>
      <c r="O9" t="str">
        <f t="shared" si="5"/>
        <v>Place 10+ HP Burn debuffs</v>
      </c>
    </row>
    <row r="10" spans="1:16" x14ac:dyDescent="0.3">
      <c r="A10" t="s">
        <v>178</v>
      </c>
      <c r="B10" t="str">
        <f t="shared" si="6"/>
        <v>BA</v>
      </c>
      <c r="C10">
        <f t="shared" si="2"/>
        <v>6</v>
      </c>
      <c r="D10" t="b">
        <f t="shared" si="3"/>
        <v>1</v>
      </c>
      <c r="G10" t="str">
        <v xml:space="preserve">Stage 9 Place 15+ Stun debuffs </v>
      </c>
      <c r="H10" t="str">
        <v>BA</v>
      </c>
      <c r="I10">
        <v>9</v>
      </c>
      <c r="J10" t="b">
        <v>1</v>
      </c>
      <c r="L10" t="str">
        <f t="shared" si="4"/>
        <v>BA9</v>
      </c>
      <c r="M10" t="str">
        <f t="shared" si="0"/>
        <v>BA</v>
      </c>
      <c r="N10" s="32">
        <f t="shared" si="1"/>
        <v>9</v>
      </c>
      <c r="O10" t="str">
        <f t="shared" si="5"/>
        <v>Place 15+ Stun debuffs</v>
      </c>
    </row>
    <row r="11" spans="1:16" x14ac:dyDescent="0.3">
      <c r="A11" t="s">
        <v>167</v>
      </c>
      <c r="B11" t="str">
        <f t="shared" si="6"/>
        <v>BA</v>
      </c>
      <c r="C11">
        <f t="shared" si="2"/>
        <v>7</v>
      </c>
      <c r="D11" t="b">
        <f t="shared" si="3"/>
        <v>1</v>
      </c>
      <c r="G11" t="str">
        <v xml:space="preserve">Stage 10 Use at least 3 Epic Champions </v>
      </c>
      <c r="H11" t="str">
        <v>BA</v>
      </c>
      <c r="I11">
        <v>10</v>
      </c>
      <c r="J11" t="b">
        <v>1</v>
      </c>
      <c r="L11" t="str">
        <f t="shared" si="4"/>
        <v>BA10</v>
      </c>
      <c r="M11" t="str">
        <f t="shared" si="0"/>
        <v>BA</v>
      </c>
      <c r="N11" s="32">
        <f t="shared" si="1"/>
        <v>10</v>
      </c>
      <c r="O11" t="str">
        <f t="shared" si="5"/>
        <v>Use at least 3 Epic Champions</v>
      </c>
    </row>
    <row r="12" spans="1:16" x14ac:dyDescent="0.3">
      <c r="A12" t="s">
        <v>210</v>
      </c>
      <c r="B12" t="str">
        <f t="shared" si="6"/>
        <v>BA</v>
      </c>
      <c r="C12">
        <f t="shared" si="2"/>
        <v>8</v>
      </c>
      <c r="D12" t="b">
        <f t="shared" si="3"/>
        <v>1</v>
      </c>
      <c r="G12" t="str">
        <v xml:space="preserve">Stage 11 Place 15+ Provoke debuffs </v>
      </c>
      <c r="H12" t="str">
        <v>BA</v>
      </c>
      <c r="I12">
        <v>11</v>
      </c>
      <c r="J12" t="b">
        <v>1</v>
      </c>
      <c r="L12" t="str">
        <f t="shared" si="4"/>
        <v>BA11</v>
      </c>
      <c r="M12" t="str">
        <f t="shared" si="0"/>
        <v>BA</v>
      </c>
      <c r="N12" s="32">
        <f t="shared" si="1"/>
        <v>11</v>
      </c>
      <c r="O12" t="str">
        <f t="shared" si="5"/>
        <v>Place 15+ Provoke debuffs</v>
      </c>
    </row>
    <row r="13" spans="1:16" x14ac:dyDescent="0.3">
      <c r="A13" t="s">
        <v>211</v>
      </c>
      <c r="B13" t="str">
        <f t="shared" si="6"/>
        <v>BA</v>
      </c>
      <c r="C13">
        <f t="shared" si="2"/>
        <v>9</v>
      </c>
      <c r="D13" t="b">
        <f t="shared" si="3"/>
        <v>1</v>
      </c>
      <c r="G13" t="str">
        <v xml:space="preserve">Stage 12 Defeat 3+ using Ally Attack skills or counterattacks </v>
      </c>
      <c r="H13" t="str">
        <v>BA</v>
      </c>
      <c r="I13">
        <v>12</v>
      </c>
      <c r="J13" t="b">
        <v>1</v>
      </c>
      <c r="L13" t="str">
        <f t="shared" si="4"/>
        <v>BA12</v>
      </c>
      <c r="M13" t="str">
        <f t="shared" si="0"/>
        <v>BA</v>
      </c>
      <c r="N13" s="32">
        <f t="shared" si="1"/>
        <v>12</v>
      </c>
      <c r="O13" t="str">
        <f t="shared" si="5"/>
        <v>Defeat 3+ using Ally Attack skills or counterattacks</v>
      </c>
    </row>
    <row r="14" spans="1:16" x14ac:dyDescent="0.3">
      <c r="A14" t="s">
        <v>169</v>
      </c>
      <c r="B14" t="str">
        <f t="shared" si="6"/>
        <v>BA</v>
      </c>
      <c r="C14">
        <f t="shared" si="2"/>
        <v>10</v>
      </c>
      <c r="D14" t="b">
        <f t="shared" si="3"/>
        <v>1</v>
      </c>
      <c r="G14" t="str">
        <v xml:space="preserve">Stage 13 Do not receive more than 10 debuffs </v>
      </c>
      <c r="H14" t="str">
        <v>BA</v>
      </c>
      <c r="I14">
        <v>13</v>
      </c>
      <c r="J14" t="b">
        <v>1</v>
      </c>
      <c r="L14" t="str">
        <f t="shared" si="4"/>
        <v>BA13</v>
      </c>
      <c r="M14" t="str">
        <f t="shared" si="0"/>
        <v>BA</v>
      </c>
      <c r="N14" s="32">
        <f t="shared" si="1"/>
        <v>13</v>
      </c>
      <c r="O14" t="str">
        <f t="shared" si="5"/>
        <v>Do not receive more than 10 debuffs</v>
      </c>
    </row>
    <row r="15" spans="1:16" x14ac:dyDescent="0.3">
      <c r="A15" t="s">
        <v>180</v>
      </c>
      <c r="B15" t="str">
        <f t="shared" si="6"/>
        <v>BA</v>
      </c>
      <c r="C15">
        <f t="shared" si="2"/>
        <v>11</v>
      </c>
      <c r="D15" t="b">
        <f t="shared" si="3"/>
        <v>1</v>
      </c>
      <c r="G15" t="str">
        <v xml:space="preserve">Stage 14 Clear  in 150 turns </v>
      </c>
      <c r="H15" t="str">
        <v>BA</v>
      </c>
      <c r="I15">
        <v>14</v>
      </c>
      <c r="J15" t="b">
        <v>1</v>
      </c>
      <c r="L15" t="str">
        <f t="shared" si="4"/>
        <v>BA14</v>
      </c>
      <c r="M15" t="str">
        <f t="shared" si="0"/>
        <v>BA</v>
      </c>
      <c r="N15" s="32">
        <f t="shared" si="1"/>
        <v>14</v>
      </c>
      <c r="O15" t="str">
        <f t="shared" si="5"/>
        <v>Clear in 150 turns</v>
      </c>
    </row>
    <row r="16" spans="1:16" x14ac:dyDescent="0.3">
      <c r="A16" t="s">
        <v>286</v>
      </c>
      <c r="B16" t="str">
        <f t="shared" si="6"/>
        <v>BA</v>
      </c>
      <c r="C16">
        <f t="shared" si="2"/>
        <v>12</v>
      </c>
      <c r="D16" t="b">
        <f t="shared" si="3"/>
        <v>1</v>
      </c>
      <c r="G16" t="str">
        <v>Stage 15 Beat  with all Champions alive at all times</v>
      </c>
      <c r="H16" t="str">
        <v>BA</v>
      </c>
      <c r="I16">
        <v>15</v>
      </c>
      <c r="J16" t="b">
        <v>1</v>
      </c>
      <c r="L16" t="str">
        <f t="shared" si="4"/>
        <v>BA15</v>
      </c>
      <c r="M16" t="str">
        <f t="shared" si="0"/>
        <v>BA</v>
      </c>
      <c r="N16" s="32">
        <f t="shared" si="1"/>
        <v>15</v>
      </c>
      <c r="O16" t="str">
        <f t="shared" si="5"/>
        <v>Beat with all Champions alive at all times</v>
      </c>
    </row>
    <row r="17" spans="1:15" x14ac:dyDescent="0.3">
      <c r="A17" t="s">
        <v>171</v>
      </c>
      <c r="B17" t="str">
        <f t="shared" si="6"/>
        <v>BA</v>
      </c>
      <c r="C17">
        <f t="shared" si="2"/>
        <v>13</v>
      </c>
      <c r="D17" t="b">
        <f t="shared" si="3"/>
        <v>1</v>
      </c>
      <c r="G17" t="str">
        <v xml:space="preserve">Stage 16 Dont let enemies use any active skills </v>
      </c>
      <c r="H17" t="str">
        <v>BA</v>
      </c>
      <c r="I17">
        <v>16</v>
      </c>
      <c r="J17" t="b">
        <v>1</v>
      </c>
      <c r="L17" t="str">
        <f t="shared" si="4"/>
        <v>BA16</v>
      </c>
      <c r="M17" t="str">
        <f t="shared" si="0"/>
        <v>BA</v>
      </c>
      <c r="N17" s="32">
        <f t="shared" si="1"/>
        <v>16</v>
      </c>
      <c r="O17" t="str">
        <f t="shared" si="5"/>
        <v>Dont let enemies use any active skills</v>
      </c>
    </row>
    <row r="18" spans="1:15" x14ac:dyDescent="0.3">
      <c r="A18" t="s">
        <v>195</v>
      </c>
      <c r="B18" t="str">
        <f t="shared" si="6"/>
        <v>BA</v>
      </c>
      <c r="C18">
        <f t="shared" si="2"/>
        <v>14</v>
      </c>
      <c r="D18" t="b">
        <f t="shared" si="3"/>
        <v>1</v>
      </c>
      <c r="G18" t="str">
        <v xml:space="preserve">Stage 17 Dont land any weak hits </v>
      </c>
      <c r="H18" t="str">
        <v>BA</v>
      </c>
      <c r="I18">
        <v>17</v>
      </c>
      <c r="J18" t="b">
        <v>1</v>
      </c>
      <c r="L18" t="str">
        <f t="shared" si="4"/>
        <v>BA17</v>
      </c>
      <c r="M18" t="str">
        <f t="shared" si="0"/>
        <v>BA</v>
      </c>
      <c r="N18" s="32">
        <f t="shared" si="1"/>
        <v>17</v>
      </c>
      <c r="O18" t="str">
        <f t="shared" si="5"/>
        <v>Dont land any weak hits</v>
      </c>
    </row>
    <row r="19" spans="1:15" x14ac:dyDescent="0.3">
      <c r="A19" t="s">
        <v>257</v>
      </c>
      <c r="B19" t="str">
        <f t="shared" si="6"/>
        <v>BA</v>
      </c>
      <c r="C19">
        <f t="shared" si="2"/>
        <v>15</v>
      </c>
      <c r="D19" t="b">
        <f t="shared" si="3"/>
        <v>1</v>
      </c>
      <c r="G19" t="str">
        <v xml:space="preserve">Stage 18 Get an Extra Turn 5+ times </v>
      </c>
      <c r="H19" t="str">
        <v>BA</v>
      </c>
      <c r="I19">
        <v>18</v>
      </c>
      <c r="J19" t="b">
        <v>1</v>
      </c>
      <c r="L19" t="str">
        <f t="shared" si="4"/>
        <v>BA18</v>
      </c>
      <c r="M19" t="str">
        <f t="shared" si="0"/>
        <v>BA</v>
      </c>
      <c r="N19" s="32">
        <f t="shared" si="1"/>
        <v>18</v>
      </c>
      <c r="O19" t="str">
        <f t="shared" si="5"/>
        <v>Get an Extra Turn 5+ times</v>
      </c>
    </row>
    <row r="20" spans="1:15" x14ac:dyDescent="0.3">
      <c r="A20" t="s">
        <v>349</v>
      </c>
      <c r="B20" t="str">
        <f t="shared" si="6"/>
        <v>BA</v>
      </c>
      <c r="C20">
        <f t="shared" si="2"/>
        <v>16</v>
      </c>
      <c r="D20" t="b">
        <f t="shared" si="3"/>
        <v>1</v>
      </c>
      <c r="G20" t="str">
        <v xml:space="preserve">Stage 19 Defeat 4+ before they take a turn </v>
      </c>
      <c r="H20" t="str">
        <v>BA</v>
      </c>
      <c r="I20">
        <v>19</v>
      </c>
      <c r="J20" t="b">
        <v>1</v>
      </c>
      <c r="L20" t="str">
        <f t="shared" si="4"/>
        <v>BA19</v>
      </c>
      <c r="M20" t="str">
        <f t="shared" si="0"/>
        <v>BA</v>
      </c>
      <c r="N20" s="32">
        <f t="shared" si="1"/>
        <v>19</v>
      </c>
      <c r="O20" t="str">
        <f t="shared" si="5"/>
        <v>Defeat 4+ before they take a turn</v>
      </c>
    </row>
    <row r="21" spans="1:15" x14ac:dyDescent="0.3">
      <c r="A21" t="s">
        <v>261</v>
      </c>
      <c r="B21" t="str">
        <f t="shared" si="6"/>
        <v>BA</v>
      </c>
      <c r="C21">
        <f t="shared" si="2"/>
        <v>17</v>
      </c>
      <c r="D21" t="b">
        <f t="shared" si="3"/>
        <v>1</v>
      </c>
      <c r="G21" t="str">
        <v>Stage 20 Keep all your Champions HP above 75%</v>
      </c>
      <c r="H21" t="str">
        <v>BA</v>
      </c>
      <c r="I21">
        <v>20</v>
      </c>
      <c r="J21" t="b">
        <v>1</v>
      </c>
      <c r="L21" t="str">
        <f t="shared" si="4"/>
        <v>BA20</v>
      </c>
      <c r="M21" t="str">
        <f t="shared" si="0"/>
        <v>BA</v>
      </c>
      <c r="N21" s="32">
        <f t="shared" si="1"/>
        <v>20</v>
      </c>
      <c r="O21" t="str">
        <f t="shared" si="5"/>
        <v>Keep all your Champions HP above 75%</v>
      </c>
    </row>
    <row r="22" spans="1:15" x14ac:dyDescent="0.3">
      <c r="A22" t="s">
        <v>212</v>
      </c>
      <c r="B22" t="str">
        <f t="shared" si="6"/>
        <v>BA</v>
      </c>
      <c r="C22">
        <f t="shared" si="2"/>
        <v>18</v>
      </c>
      <c r="D22" t="b">
        <f t="shared" si="3"/>
        <v>1</v>
      </c>
      <c r="G22" t="str">
        <v xml:space="preserve">Stage 1 Reduce 6+ HP by 50% with one skill </v>
      </c>
      <c r="H22" t="str">
        <v>BL</v>
      </c>
      <c r="I22">
        <v>1</v>
      </c>
      <c r="J22" t="b">
        <v>1</v>
      </c>
      <c r="L22" t="str">
        <f t="shared" si="4"/>
        <v>BL1</v>
      </c>
      <c r="M22" t="str">
        <f t="shared" si="0"/>
        <v>BL</v>
      </c>
      <c r="N22" s="32">
        <f t="shared" si="1"/>
        <v>1</v>
      </c>
      <c r="O22" t="str">
        <f t="shared" si="5"/>
        <v>Reduce 6+ HP by 50% with one skill</v>
      </c>
    </row>
    <row r="23" spans="1:15" x14ac:dyDescent="0.3">
      <c r="A23" t="s">
        <v>287</v>
      </c>
      <c r="B23" t="str">
        <f t="shared" si="6"/>
        <v>BA</v>
      </c>
      <c r="C23">
        <f t="shared" si="2"/>
        <v>19</v>
      </c>
      <c r="D23" t="b">
        <f t="shared" si="3"/>
        <v>1</v>
      </c>
      <c r="G23" t="str">
        <v xml:space="preserve">Stage 2 Place 10+ Provoke debuffs </v>
      </c>
      <c r="H23" t="str">
        <v>BL</v>
      </c>
      <c r="I23">
        <v>2</v>
      </c>
      <c r="J23" t="b">
        <v>1</v>
      </c>
      <c r="L23" t="str">
        <f t="shared" si="4"/>
        <v>BL2</v>
      </c>
      <c r="M23" t="str">
        <f t="shared" si="0"/>
        <v>BL</v>
      </c>
      <c r="N23" s="32">
        <f t="shared" si="1"/>
        <v>2</v>
      </c>
      <c r="O23" t="str">
        <f t="shared" si="5"/>
        <v>Place 10+ Provoke debuffs</v>
      </c>
    </row>
    <row r="24" spans="1:15" x14ac:dyDescent="0.3">
      <c r="A24" t="s">
        <v>262</v>
      </c>
      <c r="B24" t="str">
        <f t="shared" si="6"/>
        <v>BA</v>
      </c>
      <c r="C24">
        <f t="shared" si="2"/>
        <v>20</v>
      </c>
      <c r="D24" t="b">
        <f t="shared" si="3"/>
        <v>1</v>
      </c>
      <c r="G24" t="str">
        <v xml:space="preserve">Stage 3 Place 10+ Stun debuffs </v>
      </c>
      <c r="H24" t="str">
        <v>BL</v>
      </c>
      <c r="I24">
        <v>3</v>
      </c>
      <c r="J24" t="b">
        <v>1</v>
      </c>
      <c r="L24" t="str">
        <f t="shared" si="4"/>
        <v>BL3</v>
      </c>
      <c r="M24" t="str">
        <f t="shared" si="0"/>
        <v>BL</v>
      </c>
      <c r="N24" s="32">
        <f t="shared" si="1"/>
        <v>3</v>
      </c>
      <c r="O24" t="str">
        <f t="shared" si="5"/>
        <v>Place 10+ Stun debuffs</v>
      </c>
    </row>
    <row r="25" spans="1:15" x14ac:dyDescent="0.3">
      <c r="A25" t="s">
        <v>149</v>
      </c>
      <c r="B25" t="str">
        <f t="shared" si="6"/>
        <v>BL</v>
      </c>
      <c r="C25">
        <f t="shared" si="2"/>
        <v>0</v>
      </c>
      <c r="D25" t="str">
        <f t="shared" si="3"/>
        <v/>
      </c>
      <c r="G25" t="str">
        <v xml:space="preserve">Stage 4 Manipulate buff or debuff duration 20+ times </v>
      </c>
      <c r="H25" t="str">
        <v>BL</v>
      </c>
      <c r="I25">
        <v>4</v>
      </c>
      <c r="J25" t="b">
        <v>1</v>
      </c>
      <c r="L25" t="str">
        <f t="shared" si="4"/>
        <v>BL4</v>
      </c>
      <c r="M25" t="str">
        <f t="shared" si="0"/>
        <v>BL</v>
      </c>
      <c r="N25" s="32">
        <f t="shared" si="1"/>
        <v>4</v>
      </c>
      <c r="O25" t="str">
        <f t="shared" si="5"/>
        <v>Manipulate buff or debuff duration 20+ times</v>
      </c>
    </row>
    <row r="26" spans="1:15" x14ac:dyDescent="0.3">
      <c r="B26" t="str">
        <f t="shared" si="6"/>
        <v>BL</v>
      </c>
      <c r="C26">
        <f t="shared" si="2"/>
        <v>0</v>
      </c>
      <c r="D26" t="str">
        <f t="shared" si="3"/>
        <v/>
      </c>
      <c r="G26" t="str">
        <v xml:space="preserve">Stage 5 Land 40+ hits on while they are under Leech debuffs </v>
      </c>
      <c r="H26" t="str">
        <v>BL</v>
      </c>
      <c r="I26">
        <v>5</v>
      </c>
      <c r="J26" t="b">
        <v>1</v>
      </c>
      <c r="L26" t="str">
        <f t="shared" si="4"/>
        <v>BL5</v>
      </c>
      <c r="M26" t="str">
        <f t="shared" si="0"/>
        <v>BL</v>
      </c>
      <c r="N26" s="32">
        <f t="shared" si="1"/>
        <v>5</v>
      </c>
      <c r="O26" t="str">
        <f t="shared" si="5"/>
        <v>Land 40+ hits on while they are under Leech debuffs</v>
      </c>
    </row>
    <row r="27" spans="1:15" x14ac:dyDescent="0.3">
      <c r="A27" t="s">
        <v>288</v>
      </c>
      <c r="B27" t="str">
        <f t="shared" si="6"/>
        <v>BL</v>
      </c>
      <c r="C27">
        <f t="shared" si="2"/>
        <v>1</v>
      </c>
      <c r="D27" t="b">
        <f t="shared" si="3"/>
        <v>1</v>
      </c>
      <c r="G27" t="str">
        <v xml:space="preserve">Stage 6 Manipulate Turn Meters 40+ times </v>
      </c>
      <c r="H27" t="str">
        <v>BL</v>
      </c>
      <c r="I27">
        <v>6</v>
      </c>
      <c r="J27" t="b">
        <v>1</v>
      </c>
      <c r="L27" t="str">
        <f t="shared" si="4"/>
        <v>BL6</v>
      </c>
      <c r="M27" t="str">
        <f t="shared" si="0"/>
        <v>BL</v>
      </c>
      <c r="N27" s="32">
        <f t="shared" si="1"/>
        <v>6</v>
      </c>
      <c r="O27" t="str">
        <f t="shared" si="5"/>
        <v>Manipulate Turn Meters 40+ times</v>
      </c>
    </row>
    <row r="28" spans="1:15" x14ac:dyDescent="0.3">
      <c r="A28" t="s">
        <v>164</v>
      </c>
      <c r="B28" t="str">
        <f t="shared" si="6"/>
        <v>BL</v>
      </c>
      <c r="C28">
        <f t="shared" si="2"/>
        <v>2</v>
      </c>
      <c r="D28" t="b">
        <f t="shared" si="3"/>
        <v>1</v>
      </c>
      <c r="G28" t="str">
        <v xml:space="preserve">Stage 7 Clear  in 100 turns </v>
      </c>
      <c r="H28" t="str">
        <v>BL</v>
      </c>
      <c r="I28">
        <v>7</v>
      </c>
      <c r="J28" t="b">
        <v>1</v>
      </c>
      <c r="L28" t="str">
        <f t="shared" si="4"/>
        <v>BL7</v>
      </c>
      <c r="M28" t="str">
        <f t="shared" si="0"/>
        <v>BL</v>
      </c>
      <c r="N28" s="32">
        <f t="shared" si="1"/>
        <v>7</v>
      </c>
      <c r="O28" t="str">
        <f t="shared" si="5"/>
        <v>Clear in 100 turns</v>
      </c>
    </row>
    <row r="29" spans="1:15" x14ac:dyDescent="0.3">
      <c r="A29" t="s">
        <v>165</v>
      </c>
      <c r="B29" t="str">
        <f t="shared" si="6"/>
        <v>BL</v>
      </c>
      <c r="C29">
        <f t="shared" si="2"/>
        <v>3</v>
      </c>
      <c r="D29" t="b">
        <f t="shared" si="3"/>
        <v>1</v>
      </c>
      <c r="G29" t="str">
        <v xml:space="preserve">Stage 8 Reduce 9+ HP by 50% with one skill </v>
      </c>
      <c r="H29" t="str">
        <v>BL</v>
      </c>
      <c r="I29">
        <v>8</v>
      </c>
      <c r="J29" t="b">
        <v>1</v>
      </c>
      <c r="L29" t="str">
        <f t="shared" si="4"/>
        <v>BL8</v>
      </c>
      <c r="M29" t="str">
        <f t="shared" si="0"/>
        <v>BL</v>
      </c>
      <c r="N29" s="32">
        <f t="shared" si="1"/>
        <v>8</v>
      </c>
      <c r="O29" t="str">
        <f t="shared" si="5"/>
        <v>Reduce 9+ HP by 50% with one skill</v>
      </c>
    </row>
    <row r="30" spans="1:15" x14ac:dyDescent="0.3">
      <c r="A30" t="s">
        <v>166</v>
      </c>
      <c r="B30" t="str">
        <f t="shared" si="6"/>
        <v>BL</v>
      </c>
      <c r="C30">
        <f t="shared" si="2"/>
        <v>4</v>
      </c>
      <c r="D30" t="b">
        <f t="shared" si="3"/>
        <v>1</v>
      </c>
      <c r="G30" t="str">
        <v xml:space="preserve">Stage 9 Place 15+ Provoke debuffs </v>
      </c>
      <c r="H30" t="str">
        <v>BL</v>
      </c>
      <c r="I30">
        <v>9</v>
      </c>
      <c r="J30" t="b">
        <v>1</v>
      </c>
      <c r="L30" t="str">
        <f t="shared" si="4"/>
        <v>BL9</v>
      </c>
      <c r="M30" t="str">
        <f t="shared" si="0"/>
        <v>BL</v>
      </c>
      <c r="N30" s="32">
        <f t="shared" si="1"/>
        <v>9</v>
      </c>
      <c r="O30" t="str">
        <f t="shared" si="5"/>
        <v>Place 15+ Provoke debuffs</v>
      </c>
    </row>
    <row r="31" spans="1:15" x14ac:dyDescent="0.3">
      <c r="A31" t="s">
        <v>289</v>
      </c>
      <c r="B31" t="str">
        <f t="shared" si="6"/>
        <v>BL</v>
      </c>
      <c r="C31">
        <f t="shared" si="2"/>
        <v>5</v>
      </c>
      <c r="D31" t="b">
        <f t="shared" si="3"/>
        <v>1</v>
      </c>
      <c r="G31" t="str">
        <v xml:space="preserve">Stage 10 Use at least 3 Epic Champions </v>
      </c>
      <c r="H31" t="str">
        <v>BL</v>
      </c>
      <c r="I31">
        <v>10</v>
      </c>
      <c r="J31" t="b">
        <v>1</v>
      </c>
      <c r="L31" t="str">
        <f t="shared" si="4"/>
        <v>BL10</v>
      </c>
      <c r="M31" t="str">
        <f t="shared" si="0"/>
        <v>BL</v>
      </c>
      <c r="N31" s="32">
        <f t="shared" si="1"/>
        <v>10</v>
      </c>
      <c r="O31" t="str">
        <f t="shared" si="5"/>
        <v>Use at least 3 Epic Champions</v>
      </c>
    </row>
    <row r="32" spans="1:15" x14ac:dyDescent="0.3">
      <c r="A32" t="s">
        <v>178</v>
      </c>
      <c r="B32" t="str">
        <f t="shared" si="6"/>
        <v>BL</v>
      </c>
      <c r="C32">
        <f t="shared" si="2"/>
        <v>6</v>
      </c>
      <c r="D32" t="b">
        <f t="shared" si="3"/>
        <v>1</v>
      </c>
      <c r="G32" t="str">
        <v xml:space="preserve">Stage 11 Defeat all when they have no buffs on them </v>
      </c>
      <c r="H32" t="str">
        <v>BL</v>
      </c>
      <c r="I32">
        <v>11</v>
      </c>
      <c r="J32" t="b">
        <v>1</v>
      </c>
      <c r="L32" t="str">
        <f t="shared" si="4"/>
        <v>BL11</v>
      </c>
      <c r="M32" t="str">
        <f t="shared" si="0"/>
        <v>BL</v>
      </c>
      <c r="N32" s="32">
        <f t="shared" si="1"/>
        <v>11</v>
      </c>
      <c r="O32" t="str">
        <f t="shared" si="5"/>
        <v>Defeat all when they have no buffs on them</v>
      </c>
    </row>
    <row r="33" spans="1:15" x14ac:dyDescent="0.3">
      <c r="A33" t="s">
        <v>167</v>
      </c>
      <c r="B33" t="str">
        <f t="shared" si="6"/>
        <v>BL</v>
      </c>
      <c r="C33">
        <f t="shared" si="2"/>
        <v>7</v>
      </c>
      <c r="D33" t="b">
        <f t="shared" si="3"/>
        <v>1</v>
      </c>
      <c r="G33" t="str">
        <v xml:space="preserve">Stage 12 Place 15+ Stun debuffs </v>
      </c>
      <c r="H33" t="str">
        <v>BL</v>
      </c>
      <c r="I33">
        <v>12</v>
      </c>
      <c r="J33" t="b">
        <v>1</v>
      </c>
      <c r="L33" t="str">
        <f t="shared" si="4"/>
        <v>BL12</v>
      </c>
      <c r="M33" t="str">
        <f t="shared" si="0"/>
        <v>BL</v>
      </c>
      <c r="N33" s="32">
        <f t="shared" si="1"/>
        <v>12</v>
      </c>
      <c r="O33" t="str">
        <f t="shared" si="5"/>
        <v>Place 15+ Stun debuffs</v>
      </c>
    </row>
    <row r="34" spans="1:15" x14ac:dyDescent="0.3">
      <c r="A34" t="s">
        <v>290</v>
      </c>
      <c r="B34" t="str">
        <f t="shared" si="6"/>
        <v>BL</v>
      </c>
      <c r="C34">
        <f t="shared" si="2"/>
        <v>8</v>
      </c>
      <c r="D34" t="b">
        <f t="shared" si="3"/>
        <v>1</v>
      </c>
      <c r="G34" t="str">
        <v xml:space="preserve">Stage 13 Do not receive more than 10 debuffs </v>
      </c>
      <c r="H34" t="str">
        <v>BL</v>
      </c>
      <c r="I34">
        <v>13</v>
      </c>
      <c r="J34" t="b">
        <v>1</v>
      </c>
      <c r="L34" t="str">
        <f t="shared" si="4"/>
        <v>BL13</v>
      </c>
      <c r="M34" t="str">
        <f t="shared" si="0"/>
        <v>BL</v>
      </c>
      <c r="N34" s="32">
        <f t="shared" si="1"/>
        <v>13</v>
      </c>
      <c r="O34" t="str">
        <f t="shared" si="5"/>
        <v>Do not receive more than 10 debuffs</v>
      </c>
    </row>
    <row r="35" spans="1:15" x14ac:dyDescent="0.3">
      <c r="A35" t="s">
        <v>168</v>
      </c>
      <c r="B35" t="str">
        <f t="shared" si="6"/>
        <v>BL</v>
      </c>
      <c r="C35">
        <f t="shared" si="2"/>
        <v>9</v>
      </c>
      <c r="D35" t="b">
        <f t="shared" si="3"/>
        <v>1</v>
      </c>
      <c r="G35" t="str">
        <v xml:space="preserve">Stage 14 Clear  in 150 turns </v>
      </c>
      <c r="H35" t="str">
        <v>BL</v>
      </c>
      <c r="I35">
        <v>14</v>
      </c>
      <c r="J35" t="b">
        <v>1</v>
      </c>
      <c r="L35" t="str">
        <f t="shared" si="4"/>
        <v>BL14</v>
      </c>
      <c r="M35" t="str">
        <f t="shared" si="0"/>
        <v>BL</v>
      </c>
      <c r="N35" s="32">
        <f t="shared" si="1"/>
        <v>14</v>
      </c>
      <c r="O35" t="str">
        <f t="shared" si="5"/>
        <v>Clear in 150 turns</v>
      </c>
    </row>
    <row r="36" spans="1:15" x14ac:dyDescent="0.3">
      <c r="A36" t="s">
        <v>169</v>
      </c>
      <c r="B36" t="str">
        <f t="shared" si="6"/>
        <v>BL</v>
      </c>
      <c r="C36">
        <f t="shared" si="2"/>
        <v>10</v>
      </c>
      <c r="D36" t="b">
        <f t="shared" si="3"/>
        <v>1</v>
      </c>
      <c r="G36" t="str">
        <v xml:space="preserve">Stage 15 Beat  with all Champions alive at all times </v>
      </c>
      <c r="H36" t="str">
        <v>BL</v>
      </c>
      <c r="I36">
        <v>15</v>
      </c>
      <c r="J36" t="b">
        <v>1</v>
      </c>
      <c r="L36" t="str">
        <f t="shared" si="4"/>
        <v>BL15</v>
      </c>
      <c r="M36" t="str">
        <f t="shared" si="0"/>
        <v>BL</v>
      </c>
      <c r="N36" s="32">
        <f t="shared" si="1"/>
        <v>15</v>
      </c>
      <c r="O36" t="str">
        <f t="shared" si="5"/>
        <v>Beat with all Champions alive at all times</v>
      </c>
    </row>
    <row r="37" spans="1:15" x14ac:dyDescent="0.3">
      <c r="A37" t="s">
        <v>291</v>
      </c>
      <c r="B37" t="str">
        <f t="shared" si="6"/>
        <v>BL</v>
      </c>
      <c r="C37">
        <f t="shared" si="2"/>
        <v>11</v>
      </c>
      <c r="D37" t="b">
        <f t="shared" si="3"/>
        <v>1</v>
      </c>
      <c r="G37" t="str">
        <v xml:space="preserve">Stage 16 Defeat 3+ using Ally Attack skills or counterattacks </v>
      </c>
      <c r="H37" t="str">
        <v>BL</v>
      </c>
      <c r="I37">
        <v>16</v>
      </c>
      <c r="J37" t="b">
        <v>1</v>
      </c>
      <c r="L37" t="str">
        <f t="shared" si="4"/>
        <v>BL16</v>
      </c>
      <c r="M37" t="str">
        <f t="shared" si="0"/>
        <v>BL</v>
      </c>
      <c r="N37" s="32">
        <f t="shared" si="1"/>
        <v>16</v>
      </c>
      <c r="O37" t="str">
        <f t="shared" si="5"/>
        <v>Defeat 3+ using Ally Attack skills or counterattacks</v>
      </c>
    </row>
    <row r="38" spans="1:15" x14ac:dyDescent="0.3">
      <c r="A38" t="s">
        <v>170</v>
      </c>
      <c r="B38" t="str">
        <f t="shared" si="6"/>
        <v>BL</v>
      </c>
      <c r="C38">
        <f t="shared" si="2"/>
        <v>12</v>
      </c>
      <c r="D38" t="b">
        <f t="shared" si="3"/>
        <v>1</v>
      </c>
      <c r="G38" t="str">
        <v xml:space="preserve">Stage 17 Dont land any weak hits </v>
      </c>
      <c r="H38" t="str">
        <v>BL</v>
      </c>
      <c r="I38">
        <v>17</v>
      </c>
      <c r="J38" t="b">
        <v>1</v>
      </c>
      <c r="L38" t="str">
        <f t="shared" si="4"/>
        <v>BL17</v>
      </c>
      <c r="M38" t="str">
        <f t="shared" si="0"/>
        <v>BL</v>
      </c>
      <c r="N38" s="32">
        <f t="shared" si="1"/>
        <v>17</v>
      </c>
      <c r="O38" t="str">
        <f t="shared" si="5"/>
        <v>Dont land any weak hits</v>
      </c>
    </row>
    <row r="39" spans="1:15" x14ac:dyDescent="0.3">
      <c r="A39" t="s">
        <v>171</v>
      </c>
      <c r="B39" t="str">
        <f t="shared" si="6"/>
        <v>BL</v>
      </c>
      <c r="C39">
        <f t="shared" si="2"/>
        <v>13</v>
      </c>
      <c r="D39" t="b">
        <f t="shared" si="3"/>
        <v>1</v>
      </c>
      <c r="G39" t="str">
        <v xml:space="preserve">Stage 18 Defeat 4+ before they take a turn </v>
      </c>
      <c r="H39" t="str">
        <v>BL</v>
      </c>
      <c r="I39">
        <v>18</v>
      </c>
      <c r="J39" t="b">
        <v>1</v>
      </c>
      <c r="L39" t="str">
        <f t="shared" si="4"/>
        <v>BL18</v>
      </c>
      <c r="M39" t="str">
        <f t="shared" si="0"/>
        <v>BL</v>
      </c>
      <c r="N39" s="32">
        <f t="shared" si="1"/>
        <v>18</v>
      </c>
      <c r="O39" t="str">
        <f t="shared" si="5"/>
        <v>Defeat 4+ before they take a turn</v>
      </c>
    </row>
    <row r="40" spans="1:15" x14ac:dyDescent="0.3">
      <c r="A40" t="s">
        <v>195</v>
      </c>
      <c r="B40" t="str">
        <f t="shared" si="6"/>
        <v>BL</v>
      </c>
      <c r="C40">
        <f t="shared" si="2"/>
        <v>14</v>
      </c>
      <c r="D40" t="b">
        <f t="shared" si="3"/>
        <v>1</v>
      </c>
      <c r="G40" t="str">
        <v xml:space="preserve">Stage 19 Get an Extra Turn 5+ times </v>
      </c>
      <c r="H40" t="str">
        <v>BL</v>
      </c>
      <c r="I40">
        <v>19</v>
      </c>
      <c r="J40" t="b">
        <v>1</v>
      </c>
      <c r="L40" t="str">
        <f t="shared" si="4"/>
        <v>BL19</v>
      </c>
      <c r="M40" t="str">
        <f t="shared" si="0"/>
        <v>BL</v>
      </c>
      <c r="N40" s="32">
        <f t="shared" si="1"/>
        <v>19</v>
      </c>
      <c r="O40" t="str">
        <f t="shared" si="5"/>
        <v>Get an Extra Turn 5+ times</v>
      </c>
    </row>
    <row r="41" spans="1:15" x14ac:dyDescent="0.3">
      <c r="A41" t="s">
        <v>172</v>
      </c>
      <c r="B41" t="str">
        <f t="shared" si="6"/>
        <v>BL</v>
      </c>
      <c r="C41">
        <f t="shared" si="2"/>
        <v>15</v>
      </c>
      <c r="D41" t="b">
        <f t="shared" si="3"/>
        <v>1</v>
      </c>
      <c r="G41" t="str">
        <v>Stage 20 Keep all your Champions HP above 75%</v>
      </c>
      <c r="H41" t="str">
        <v>BL</v>
      </c>
      <c r="I41">
        <v>20</v>
      </c>
      <c r="J41" t="b">
        <v>1</v>
      </c>
      <c r="L41" t="str">
        <f t="shared" si="4"/>
        <v>BL20</v>
      </c>
      <c r="M41" t="str">
        <f t="shared" si="0"/>
        <v>BL</v>
      </c>
      <c r="N41" s="32">
        <f t="shared" si="1"/>
        <v>20</v>
      </c>
      <c r="O41" t="str">
        <f t="shared" si="5"/>
        <v>Keep all your Champions HP above 75%</v>
      </c>
    </row>
    <row r="42" spans="1:15" x14ac:dyDescent="0.3">
      <c r="A42" t="s">
        <v>292</v>
      </c>
      <c r="B42" t="str">
        <f t="shared" si="6"/>
        <v>BL</v>
      </c>
      <c r="C42">
        <f t="shared" si="2"/>
        <v>16</v>
      </c>
      <c r="D42" t="b">
        <f t="shared" si="3"/>
        <v>1</v>
      </c>
      <c r="G42" t="str">
        <v xml:space="preserve">Stage 1 Place 20+ Poison debuffs </v>
      </c>
      <c r="H42" t="str">
        <v>DE</v>
      </c>
      <c r="I42">
        <v>1</v>
      </c>
      <c r="J42" t="b">
        <v>1</v>
      </c>
      <c r="L42" t="str">
        <f t="shared" si="4"/>
        <v>DE1</v>
      </c>
      <c r="M42" t="str">
        <f t="shared" si="0"/>
        <v>DE</v>
      </c>
      <c r="N42" s="32">
        <f t="shared" si="1"/>
        <v>1</v>
      </c>
      <c r="O42" t="str">
        <f t="shared" si="5"/>
        <v>Place 20+ Poison debuffs</v>
      </c>
    </row>
    <row r="43" spans="1:15" x14ac:dyDescent="0.3">
      <c r="A43" t="s">
        <v>261</v>
      </c>
      <c r="B43" t="str">
        <f t="shared" si="6"/>
        <v>BL</v>
      </c>
      <c r="C43">
        <f t="shared" si="2"/>
        <v>17</v>
      </c>
      <c r="D43" t="b">
        <f t="shared" si="3"/>
        <v>1</v>
      </c>
      <c r="G43" t="str">
        <v xml:space="preserve">Stage 2 Place 10+ Freeze debuffs </v>
      </c>
      <c r="H43" t="str">
        <v>DE</v>
      </c>
      <c r="I43">
        <v>2</v>
      </c>
      <c r="J43" t="b">
        <v>1</v>
      </c>
      <c r="L43" t="str">
        <f t="shared" si="4"/>
        <v>DE2</v>
      </c>
      <c r="M43" t="str">
        <f t="shared" si="0"/>
        <v>DE</v>
      </c>
      <c r="N43" s="32">
        <f t="shared" si="1"/>
        <v>2</v>
      </c>
      <c r="O43" t="str">
        <f t="shared" si="5"/>
        <v>Place 10+ Freeze debuffs</v>
      </c>
    </row>
    <row r="44" spans="1:15" x14ac:dyDescent="0.3">
      <c r="A44" t="s">
        <v>293</v>
      </c>
      <c r="B44" t="str">
        <f t="shared" si="6"/>
        <v>BL</v>
      </c>
      <c r="C44">
        <f t="shared" si="2"/>
        <v>18</v>
      </c>
      <c r="D44" t="b">
        <f t="shared" si="3"/>
        <v>1</v>
      </c>
      <c r="G44" t="str">
        <v xml:space="preserve">Stage 3 Place 10+ Provoke debuffs </v>
      </c>
      <c r="H44" t="str">
        <v>DE</v>
      </c>
      <c r="I44">
        <v>3</v>
      </c>
      <c r="J44" t="b">
        <v>1</v>
      </c>
      <c r="L44" t="str">
        <f t="shared" si="4"/>
        <v>DE3</v>
      </c>
      <c r="M44" t="str">
        <f t="shared" si="0"/>
        <v>DE</v>
      </c>
      <c r="N44" s="32">
        <f t="shared" si="1"/>
        <v>3</v>
      </c>
      <c r="O44" t="str">
        <f t="shared" si="5"/>
        <v>Place 10+ Provoke debuffs</v>
      </c>
    </row>
    <row r="45" spans="1:15" x14ac:dyDescent="0.3">
      <c r="A45" t="s">
        <v>173</v>
      </c>
      <c r="B45" t="str">
        <f t="shared" si="6"/>
        <v>BL</v>
      </c>
      <c r="C45">
        <f t="shared" si="2"/>
        <v>19</v>
      </c>
      <c r="D45" t="b">
        <f t="shared" si="3"/>
        <v>1</v>
      </c>
      <c r="G45" t="str">
        <v xml:space="preserve">Stage 4 Place 10+ Sleep debuffs </v>
      </c>
      <c r="H45" t="str">
        <v>DE</v>
      </c>
      <c r="I45">
        <v>4</v>
      </c>
      <c r="J45" t="b">
        <v>1</v>
      </c>
      <c r="L45" t="str">
        <f t="shared" si="4"/>
        <v>DE4</v>
      </c>
      <c r="M45" t="str">
        <f t="shared" si="0"/>
        <v>DE</v>
      </c>
      <c r="N45" s="32">
        <f t="shared" si="1"/>
        <v>4</v>
      </c>
      <c r="O45" t="str">
        <f t="shared" si="5"/>
        <v>Place 10+ Sleep debuffs</v>
      </c>
    </row>
    <row r="46" spans="1:15" x14ac:dyDescent="0.3">
      <c r="A46" t="s">
        <v>262</v>
      </c>
      <c r="B46" t="str">
        <f t="shared" si="6"/>
        <v>BL</v>
      </c>
      <c r="C46">
        <f t="shared" si="2"/>
        <v>20</v>
      </c>
      <c r="D46" t="b">
        <f t="shared" si="3"/>
        <v>1</v>
      </c>
      <c r="G46" t="str">
        <v xml:space="preserve">Stage 5 Defeat 6+ while theyre under Hex debuffs </v>
      </c>
      <c r="H46" t="str">
        <v>DE</v>
      </c>
      <c r="I46">
        <v>5</v>
      </c>
      <c r="J46" t="b">
        <v>1</v>
      </c>
      <c r="L46" t="str">
        <f t="shared" si="4"/>
        <v>DE5</v>
      </c>
      <c r="M46" t="str">
        <f t="shared" si="0"/>
        <v>DE</v>
      </c>
      <c r="N46" s="32">
        <f t="shared" si="1"/>
        <v>5</v>
      </c>
      <c r="O46" t="str">
        <f t="shared" si="5"/>
        <v>Defeat 6+ while theyre under Hex debuffs</v>
      </c>
    </row>
    <row r="47" spans="1:15" x14ac:dyDescent="0.3">
      <c r="A47" t="s">
        <v>150</v>
      </c>
      <c r="B47" t="str">
        <f t="shared" si="6"/>
        <v>DE</v>
      </c>
      <c r="C47">
        <f t="shared" si="2"/>
        <v>0</v>
      </c>
      <c r="D47" t="str">
        <f t="shared" si="3"/>
        <v/>
      </c>
      <c r="G47" t="str">
        <v xml:space="preserve">Stage 6 Manipulate Turn Meters 40+ times </v>
      </c>
      <c r="H47" t="str">
        <v>DE</v>
      </c>
      <c r="I47">
        <v>6</v>
      </c>
      <c r="J47" t="b">
        <v>1</v>
      </c>
      <c r="L47" t="str">
        <f t="shared" si="4"/>
        <v>DE6</v>
      </c>
      <c r="M47" t="str">
        <f t="shared" si="0"/>
        <v>DE</v>
      </c>
      <c r="N47" s="32">
        <f t="shared" si="1"/>
        <v>6</v>
      </c>
      <c r="O47" t="str">
        <f t="shared" si="5"/>
        <v>Manipulate Turn Meters 40+ times</v>
      </c>
    </row>
    <row r="48" spans="1:15" x14ac:dyDescent="0.3">
      <c r="B48" t="str">
        <f t="shared" si="6"/>
        <v>DE</v>
      </c>
      <c r="C48">
        <f t="shared" si="2"/>
        <v>0</v>
      </c>
      <c r="D48" t="str">
        <f t="shared" si="3"/>
        <v/>
      </c>
      <c r="G48" t="str">
        <v xml:space="preserve">Stage 7 Clear  in 100 turns </v>
      </c>
      <c r="H48" t="str">
        <v>DE</v>
      </c>
      <c r="I48">
        <v>7</v>
      </c>
      <c r="J48" t="b">
        <v>1</v>
      </c>
      <c r="L48" t="str">
        <f t="shared" si="4"/>
        <v>DE7</v>
      </c>
      <c r="M48" t="str">
        <f t="shared" si="0"/>
        <v>DE</v>
      </c>
      <c r="N48" s="32">
        <f t="shared" si="1"/>
        <v>7</v>
      </c>
      <c r="O48" t="str">
        <f t="shared" si="5"/>
        <v>Clear in 100 turns</v>
      </c>
    </row>
    <row r="49" spans="1:15" x14ac:dyDescent="0.3">
      <c r="A49" t="s">
        <v>174</v>
      </c>
      <c r="B49" t="str">
        <f t="shared" si="6"/>
        <v>DE</v>
      </c>
      <c r="C49">
        <f t="shared" si="2"/>
        <v>1</v>
      </c>
      <c r="D49" t="b">
        <f t="shared" si="3"/>
        <v>1</v>
      </c>
      <c r="G49" t="str">
        <v xml:space="preserve">Stage 8 Defeat all when they have no buffs on them </v>
      </c>
      <c r="H49" t="str">
        <v>DE</v>
      </c>
      <c r="I49">
        <v>8</v>
      </c>
      <c r="J49" t="b">
        <v>1</v>
      </c>
      <c r="L49" t="str">
        <f t="shared" si="4"/>
        <v>DE8</v>
      </c>
      <c r="M49" t="str">
        <f t="shared" si="0"/>
        <v>DE</v>
      </c>
      <c r="N49" s="32">
        <f t="shared" si="1"/>
        <v>8</v>
      </c>
      <c r="O49" t="str">
        <f t="shared" si="5"/>
        <v>Defeat all when they have no buffs on them</v>
      </c>
    </row>
    <row r="50" spans="1:15" x14ac:dyDescent="0.3">
      <c r="A50" t="s">
        <v>175</v>
      </c>
      <c r="B50" t="str">
        <f t="shared" si="6"/>
        <v>DE</v>
      </c>
      <c r="C50">
        <f t="shared" si="2"/>
        <v>2</v>
      </c>
      <c r="D50" t="b">
        <f t="shared" si="3"/>
        <v>1</v>
      </c>
      <c r="G50" t="str">
        <v xml:space="preserve">Stage 9 Place 15+ Freeze debuffs </v>
      </c>
      <c r="H50" t="str">
        <v>DE</v>
      </c>
      <c r="I50">
        <v>9</v>
      </c>
      <c r="J50" t="b">
        <v>1</v>
      </c>
      <c r="L50" t="str">
        <f t="shared" si="4"/>
        <v>DE9</v>
      </c>
      <c r="M50" t="str">
        <f t="shared" si="0"/>
        <v>DE</v>
      </c>
      <c r="N50" s="32">
        <f t="shared" si="1"/>
        <v>9</v>
      </c>
      <c r="O50" t="str">
        <f t="shared" si="5"/>
        <v>Place 15+ Freeze debuffs</v>
      </c>
    </row>
    <row r="51" spans="1:15" x14ac:dyDescent="0.3">
      <c r="A51" t="s">
        <v>176</v>
      </c>
      <c r="B51" t="str">
        <f t="shared" si="6"/>
        <v>DE</v>
      </c>
      <c r="C51">
        <f t="shared" si="2"/>
        <v>3</v>
      </c>
      <c r="D51" t="b">
        <f t="shared" si="3"/>
        <v>1</v>
      </c>
      <c r="G51" t="str">
        <v xml:space="preserve">Stage 10 Use at least 3 Epic Champions </v>
      </c>
      <c r="H51" t="str">
        <v>DE</v>
      </c>
      <c r="I51">
        <v>10</v>
      </c>
      <c r="J51" t="b">
        <v>1</v>
      </c>
      <c r="L51" t="str">
        <f t="shared" si="4"/>
        <v>DE10</v>
      </c>
      <c r="M51" t="str">
        <f t="shared" si="0"/>
        <v>DE</v>
      </c>
      <c r="N51" s="32">
        <f t="shared" si="1"/>
        <v>10</v>
      </c>
      <c r="O51" t="str">
        <f t="shared" si="5"/>
        <v>Use at least 3 Epic Champions</v>
      </c>
    </row>
    <row r="52" spans="1:15" x14ac:dyDescent="0.3">
      <c r="A52" t="s">
        <v>177</v>
      </c>
      <c r="B52" t="str">
        <f t="shared" si="6"/>
        <v>DE</v>
      </c>
      <c r="C52">
        <f t="shared" si="2"/>
        <v>4</v>
      </c>
      <c r="D52" t="b">
        <f t="shared" si="3"/>
        <v>1</v>
      </c>
      <c r="G52" t="str">
        <v xml:space="preserve">Stage 11 Place 15+ Provoke debuffs </v>
      </c>
      <c r="H52" t="str">
        <v>DE</v>
      </c>
      <c r="I52">
        <v>11</v>
      </c>
      <c r="J52" t="b">
        <v>1</v>
      </c>
      <c r="L52" t="str">
        <f t="shared" si="4"/>
        <v>DE11</v>
      </c>
      <c r="M52" t="str">
        <f t="shared" si="0"/>
        <v>DE</v>
      </c>
      <c r="N52" s="32">
        <f t="shared" si="1"/>
        <v>11</v>
      </c>
      <c r="O52" t="str">
        <f t="shared" si="5"/>
        <v>Place 15+ Provoke debuffs</v>
      </c>
    </row>
    <row r="53" spans="1:15" x14ac:dyDescent="0.3">
      <c r="A53" t="s">
        <v>294</v>
      </c>
      <c r="B53" t="str">
        <f t="shared" si="6"/>
        <v>DE</v>
      </c>
      <c r="C53">
        <f t="shared" si="2"/>
        <v>5</v>
      </c>
      <c r="D53" t="b">
        <f t="shared" si="3"/>
        <v>1</v>
      </c>
      <c r="G53" t="str">
        <v xml:space="preserve">Stage 12 Manipulate skill cooldowns 15+ times </v>
      </c>
      <c r="H53" t="str">
        <v>DE</v>
      </c>
      <c r="I53">
        <v>12</v>
      </c>
      <c r="J53" t="b">
        <v>1</v>
      </c>
      <c r="L53" t="str">
        <f t="shared" si="4"/>
        <v>DE12</v>
      </c>
      <c r="M53" t="str">
        <f t="shared" si="0"/>
        <v>DE</v>
      </c>
      <c r="N53" s="32">
        <f t="shared" si="1"/>
        <v>12</v>
      </c>
      <c r="O53" t="str">
        <f t="shared" si="5"/>
        <v>Manipulate skill cooldowns 15+ times</v>
      </c>
    </row>
    <row r="54" spans="1:15" x14ac:dyDescent="0.3">
      <c r="A54" t="s">
        <v>178</v>
      </c>
      <c r="B54" t="str">
        <f t="shared" si="6"/>
        <v>DE</v>
      </c>
      <c r="C54">
        <f t="shared" si="2"/>
        <v>6</v>
      </c>
      <c r="D54" t="b">
        <f t="shared" si="3"/>
        <v>1</v>
      </c>
      <c r="G54" t="str">
        <v xml:space="preserve">Stage 13 Do not receive more than 10 debuffs </v>
      </c>
      <c r="H54" t="str">
        <v>DE</v>
      </c>
      <c r="I54">
        <v>13</v>
      </c>
      <c r="J54" t="b">
        <v>1</v>
      </c>
      <c r="L54" t="str">
        <f t="shared" si="4"/>
        <v>DE13</v>
      </c>
      <c r="M54" t="str">
        <f t="shared" si="0"/>
        <v>DE</v>
      </c>
      <c r="N54" s="32">
        <f t="shared" si="1"/>
        <v>13</v>
      </c>
      <c r="O54" t="str">
        <f t="shared" si="5"/>
        <v>Do not receive more than 10 debuffs</v>
      </c>
    </row>
    <row r="55" spans="1:15" x14ac:dyDescent="0.3">
      <c r="A55" t="s">
        <v>167</v>
      </c>
      <c r="B55" t="str">
        <f t="shared" si="6"/>
        <v>DE</v>
      </c>
      <c r="C55">
        <f t="shared" si="2"/>
        <v>7</v>
      </c>
      <c r="D55" t="b">
        <f t="shared" si="3"/>
        <v>1</v>
      </c>
      <c r="G55" t="str">
        <v xml:space="preserve">Stage 14 Clear  in 150 turns </v>
      </c>
      <c r="H55" t="str">
        <v>DE</v>
      </c>
      <c r="I55">
        <v>14</v>
      </c>
      <c r="J55" t="b">
        <v>1</v>
      </c>
      <c r="L55" t="str">
        <f t="shared" si="4"/>
        <v>DE14</v>
      </c>
      <c r="M55" t="str">
        <f t="shared" si="0"/>
        <v>DE</v>
      </c>
      <c r="N55" s="32">
        <f t="shared" si="1"/>
        <v>14</v>
      </c>
      <c r="O55" t="str">
        <f t="shared" si="5"/>
        <v>Clear in 150 turns</v>
      </c>
    </row>
    <row r="56" spans="1:15" x14ac:dyDescent="0.3">
      <c r="A56" t="s">
        <v>295</v>
      </c>
      <c r="B56" t="str">
        <f t="shared" si="6"/>
        <v>DE</v>
      </c>
      <c r="C56">
        <f t="shared" si="2"/>
        <v>8</v>
      </c>
      <c r="D56" t="b">
        <f t="shared" si="3"/>
        <v>1</v>
      </c>
      <c r="G56" t="str">
        <v xml:space="preserve">Stage 15 Beat  with all Champions alive at all times </v>
      </c>
      <c r="H56" t="str">
        <v>DE</v>
      </c>
      <c r="I56">
        <v>15</v>
      </c>
      <c r="J56" t="b">
        <v>1</v>
      </c>
      <c r="L56" t="str">
        <f t="shared" si="4"/>
        <v>DE15</v>
      </c>
      <c r="M56" t="str">
        <f t="shared" si="0"/>
        <v>DE</v>
      </c>
      <c r="N56" s="32">
        <f t="shared" si="1"/>
        <v>15</v>
      </c>
      <c r="O56" t="str">
        <f t="shared" si="5"/>
        <v>Beat with all Champions alive at all times</v>
      </c>
    </row>
    <row r="57" spans="1:15" x14ac:dyDescent="0.3">
      <c r="A57" t="s">
        <v>179</v>
      </c>
      <c r="B57" t="str">
        <f t="shared" si="6"/>
        <v>DE</v>
      </c>
      <c r="C57">
        <f t="shared" si="2"/>
        <v>9</v>
      </c>
      <c r="D57" t="b">
        <f t="shared" si="3"/>
        <v>1</v>
      </c>
      <c r="G57" t="str">
        <v xml:space="preserve">Stage 16 Place 10+ Block Revive debuffs </v>
      </c>
      <c r="H57" t="str">
        <v>DE</v>
      </c>
      <c r="I57">
        <v>16</v>
      </c>
      <c r="J57" t="b">
        <v>1</v>
      </c>
      <c r="L57" t="str">
        <f t="shared" si="4"/>
        <v>DE16</v>
      </c>
      <c r="M57" t="str">
        <f t="shared" si="0"/>
        <v>DE</v>
      </c>
      <c r="N57" s="32">
        <f t="shared" si="1"/>
        <v>16</v>
      </c>
      <c r="O57" t="str">
        <f t="shared" si="5"/>
        <v>Place 10+ Block Revive debuffs</v>
      </c>
    </row>
    <row r="58" spans="1:15" x14ac:dyDescent="0.3">
      <c r="A58" t="s">
        <v>169</v>
      </c>
      <c r="B58" t="str">
        <f t="shared" si="6"/>
        <v>DE</v>
      </c>
      <c r="C58">
        <f t="shared" si="2"/>
        <v>10</v>
      </c>
      <c r="D58" t="b">
        <f t="shared" si="3"/>
        <v>1</v>
      </c>
      <c r="G58" t="str">
        <v xml:space="preserve">Stage 17 Dont land any weak hits </v>
      </c>
      <c r="H58" t="str">
        <v>DE</v>
      </c>
      <c r="I58">
        <v>17</v>
      </c>
      <c r="J58" t="b">
        <v>1</v>
      </c>
      <c r="L58" t="str">
        <f t="shared" si="4"/>
        <v>DE17</v>
      </c>
      <c r="M58" t="str">
        <f t="shared" si="0"/>
        <v>DE</v>
      </c>
      <c r="N58" s="32">
        <f t="shared" si="1"/>
        <v>17</v>
      </c>
      <c r="O58" t="str">
        <f t="shared" si="5"/>
        <v>Dont land any weak hits</v>
      </c>
    </row>
    <row r="59" spans="1:15" x14ac:dyDescent="0.3">
      <c r="A59" t="s">
        <v>180</v>
      </c>
      <c r="B59" t="str">
        <f t="shared" si="6"/>
        <v>DE</v>
      </c>
      <c r="C59">
        <f t="shared" si="2"/>
        <v>11</v>
      </c>
      <c r="D59" t="b">
        <f t="shared" si="3"/>
        <v>1</v>
      </c>
      <c r="G59" t="str">
        <v xml:space="preserve">Stage 18 Defeat 10+ while your Champions are under Perfect Veil </v>
      </c>
      <c r="H59" t="str">
        <v>DE</v>
      </c>
      <c r="I59">
        <v>18</v>
      </c>
      <c r="J59" t="b">
        <v>1</v>
      </c>
      <c r="L59" t="str">
        <f t="shared" si="4"/>
        <v>DE18</v>
      </c>
      <c r="M59" t="str">
        <f t="shared" si="0"/>
        <v>DE</v>
      </c>
      <c r="N59" s="32">
        <f t="shared" si="1"/>
        <v>18</v>
      </c>
      <c r="O59" t="str">
        <f t="shared" si="5"/>
        <v>Defeat 10+ while your Champions are under Perfect Veil</v>
      </c>
    </row>
    <row r="60" spans="1:15" x14ac:dyDescent="0.3">
      <c r="A60" t="s">
        <v>181</v>
      </c>
      <c r="B60" t="str">
        <f t="shared" si="6"/>
        <v>DE</v>
      </c>
      <c r="C60">
        <f t="shared" si="2"/>
        <v>12</v>
      </c>
      <c r="D60" t="b">
        <f t="shared" si="3"/>
        <v>1</v>
      </c>
      <c r="G60" t="str">
        <v xml:space="preserve">Stage 19 Defeat 3+ while theyre under 10 debuffs </v>
      </c>
      <c r="H60" t="str">
        <v>DE</v>
      </c>
      <c r="I60">
        <v>19</v>
      </c>
      <c r="J60" t="b">
        <v>1</v>
      </c>
      <c r="L60" t="str">
        <f t="shared" si="4"/>
        <v>DE19</v>
      </c>
      <c r="M60" t="str">
        <f t="shared" si="0"/>
        <v>DE</v>
      </c>
      <c r="N60" s="32">
        <f t="shared" si="1"/>
        <v>19</v>
      </c>
      <c r="O60" t="str">
        <f t="shared" si="5"/>
        <v>Defeat 3+ while theyre under 10 debuffs</v>
      </c>
    </row>
    <row r="61" spans="1:15" x14ac:dyDescent="0.3">
      <c r="A61" t="s">
        <v>171</v>
      </c>
      <c r="B61" t="str">
        <f t="shared" si="6"/>
        <v>DE</v>
      </c>
      <c r="C61">
        <f t="shared" si="2"/>
        <v>13</v>
      </c>
      <c r="D61" t="b">
        <f t="shared" si="3"/>
        <v>1</v>
      </c>
      <c r="G61" t="str">
        <v>Stage 20 Dont let enemies heal</v>
      </c>
      <c r="H61" t="str">
        <v>DE</v>
      </c>
      <c r="I61">
        <v>20</v>
      </c>
      <c r="J61" t="b">
        <v>1</v>
      </c>
      <c r="L61" t="str">
        <f t="shared" si="4"/>
        <v>DE20</v>
      </c>
      <c r="M61" t="str">
        <f t="shared" si="0"/>
        <v>DE</v>
      </c>
      <c r="N61" s="32">
        <f t="shared" si="1"/>
        <v>20</v>
      </c>
      <c r="O61" t="str">
        <f t="shared" si="5"/>
        <v>Dont let enemies heal</v>
      </c>
    </row>
    <row r="62" spans="1:15" x14ac:dyDescent="0.3">
      <c r="A62" t="s">
        <v>195</v>
      </c>
      <c r="B62" t="str">
        <f t="shared" si="6"/>
        <v>DE</v>
      </c>
      <c r="C62">
        <f t="shared" si="2"/>
        <v>14</v>
      </c>
      <c r="D62" t="b">
        <f t="shared" si="3"/>
        <v>1</v>
      </c>
      <c r="G62" t="str">
        <v xml:space="preserve">Stage 1 Place 10+ HP Burn debuffs </v>
      </c>
      <c r="H62" t="str">
        <v>DS</v>
      </c>
      <c r="I62">
        <v>1</v>
      </c>
      <c r="J62" t="b">
        <v>1</v>
      </c>
      <c r="L62" t="str">
        <f t="shared" si="4"/>
        <v>DS1</v>
      </c>
      <c r="M62" t="str">
        <f t="shared" si="0"/>
        <v>DS</v>
      </c>
      <c r="N62" s="32">
        <f t="shared" si="1"/>
        <v>1</v>
      </c>
      <c r="O62" t="str">
        <f t="shared" si="5"/>
        <v>Place 10+ HP Burn debuffs</v>
      </c>
    </row>
    <row r="63" spans="1:15" x14ac:dyDescent="0.3">
      <c r="A63" t="s">
        <v>172</v>
      </c>
      <c r="B63" t="str">
        <f t="shared" si="6"/>
        <v>DE</v>
      </c>
      <c r="C63">
        <f t="shared" si="2"/>
        <v>15</v>
      </c>
      <c r="D63" t="b">
        <f t="shared" si="3"/>
        <v>1</v>
      </c>
      <c r="G63" t="str">
        <v xml:space="preserve">Stage 2 Place 10+ Provoke debuffs </v>
      </c>
      <c r="H63" t="str">
        <v>DS</v>
      </c>
      <c r="I63">
        <v>2</v>
      </c>
      <c r="J63" t="b">
        <v>1</v>
      </c>
      <c r="L63" t="str">
        <f t="shared" si="4"/>
        <v>DS2</v>
      </c>
      <c r="M63" t="str">
        <f t="shared" si="0"/>
        <v>DS</v>
      </c>
      <c r="N63" s="32">
        <f t="shared" si="1"/>
        <v>2</v>
      </c>
      <c r="O63" t="str">
        <f t="shared" si="5"/>
        <v>Place 10+ Provoke debuffs</v>
      </c>
    </row>
    <row r="64" spans="1:15" x14ac:dyDescent="0.3">
      <c r="A64" t="s">
        <v>182</v>
      </c>
      <c r="B64" t="str">
        <f t="shared" si="6"/>
        <v>DE</v>
      </c>
      <c r="C64">
        <f t="shared" si="2"/>
        <v>16</v>
      </c>
      <c r="D64" t="b">
        <f t="shared" si="3"/>
        <v>1</v>
      </c>
      <c r="G64" t="str">
        <v xml:space="preserve">Stage 3 Place 20+ Poison debuffs </v>
      </c>
      <c r="H64" t="str">
        <v>DS</v>
      </c>
      <c r="I64">
        <v>3</v>
      </c>
      <c r="J64" t="b">
        <v>1</v>
      </c>
      <c r="L64" t="str">
        <f t="shared" si="4"/>
        <v>DS3</v>
      </c>
      <c r="M64" t="str">
        <f t="shared" si="0"/>
        <v>DS</v>
      </c>
      <c r="N64" s="32">
        <f t="shared" si="1"/>
        <v>3</v>
      </c>
      <c r="O64" t="str">
        <f t="shared" si="5"/>
        <v>Place 20+ Poison debuffs</v>
      </c>
    </row>
    <row r="65" spans="1:15" x14ac:dyDescent="0.3">
      <c r="A65" t="s">
        <v>261</v>
      </c>
      <c r="B65" t="str">
        <f t="shared" si="6"/>
        <v>DE</v>
      </c>
      <c r="C65">
        <f t="shared" si="2"/>
        <v>17</v>
      </c>
      <c r="D65" t="b">
        <f t="shared" si="3"/>
        <v>1</v>
      </c>
      <c r="G65" t="str">
        <v xml:space="preserve">Stage 4 Defeat 5+ using Bomb debuffs </v>
      </c>
      <c r="H65" t="str">
        <v>DS</v>
      </c>
      <c r="I65">
        <v>4</v>
      </c>
      <c r="J65" t="b">
        <v>1</v>
      </c>
      <c r="L65" t="str">
        <f t="shared" si="4"/>
        <v>DS4</v>
      </c>
      <c r="M65" t="str">
        <f t="shared" si="0"/>
        <v>DS</v>
      </c>
      <c r="N65" s="32">
        <f t="shared" si="1"/>
        <v>4</v>
      </c>
      <c r="O65" t="str">
        <f t="shared" si="5"/>
        <v>Defeat 5+ using Bomb debuffs</v>
      </c>
    </row>
    <row r="66" spans="1:15" x14ac:dyDescent="0.3">
      <c r="A66" t="s">
        <v>296</v>
      </c>
      <c r="B66" t="str">
        <f t="shared" si="6"/>
        <v>DE</v>
      </c>
      <c r="C66">
        <f t="shared" si="2"/>
        <v>18</v>
      </c>
      <c r="D66" t="b">
        <f t="shared" si="3"/>
        <v>1</v>
      </c>
      <c r="G66" t="str">
        <v xml:space="preserve">Stage 5 Place 10+ Stun debuffs </v>
      </c>
      <c r="H66" t="str">
        <v>DS</v>
      </c>
      <c r="I66">
        <v>5</v>
      </c>
      <c r="J66" t="b">
        <v>1</v>
      </c>
      <c r="L66" t="str">
        <f t="shared" si="4"/>
        <v>DS5</v>
      </c>
      <c r="M66" t="str">
        <f t="shared" ref="M66:M129" si="7">H66</f>
        <v>DS</v>
      </c>
      <c r="N66" s="32">
        <f t="shared" ref="N66:N129" si="8">I66</f>
        <v>5</v>
      </c>
      <c r="O66" t="str">
        <f t="shared" si="5"/>
        <v>Place 10+ Stun debuffs</v>
      </c>
    </row>
    <row r="67" spans="1:15" x14ac:dyDescent="0.3">
      <c r="A67" t="s">
        <v>297</v>
      </c>
      <c r="B67" t="str">
        <f t="shared" si="6"/>
        <v>DE</v>
      </c>
      <c r="C67">
        <f t="shared" ref="C67:C130" si="9">IF(LEFT(A67,4)="Stag",INT(TRIM(MID(A67,7,2))), 0)</f>
        <v>19</v>
      </c>
      <c r="D67" t="b">
        <f t="shared" ref="D67:D130" si="10">IF(C67&lt;&gt;0, INT(C67)=C66+1, "")</f>
        <v>1</v>
      </c>
      <c r="G67" t="str">
        <v xml:space="preserve">Stage 6 Manipulate Turn Meters 40+ times </v>
      </c>
      <c r="H67" t="str">
        <v>DS</v>
      </c>
      <c r="I67">
        <v>6</v>
      </c>
      <c r="J67" t="b">
        <v>1</v>
      </c>
      <c r="L67" t="str">
        <f t="shared" ref="L67:L130" si="11">M67&amp;N67</f>
        <v>DS6</v>
      </c>
      <c r="M67" t="str">
        <f t="shared" si="7"/>
        <v>DS</v>
      </c>
      <c r="N67" s="32">
        <f t="shared" si="8"/>
        <v>6</v>
      </c>
      <c r="O67" t="str">
        <f t="shared" ref="O67:O130" si="12">TRIM(_xlfn.LET( _xlpm.x, FIND(" ", G67, 7),_xlpm.y,ISNUMBER(_xlpm.x), IF(_xlpm.y, MID(G67,_xlpm.x+1,99),"")))</f>
        <v>Manipulate Turn Meters 40+ times</v>
      </c>
    </row>
    <row r="68" spans="1:15" x14ac:dyDescent="0.3">
      <c r="A68" t="s">
        <v>352</v>
      </c>
      <c r="B68" t="str">
        <f t="shared" ref="B68:B131" si="13">IF(LEFT(A68,5)="file=",MID(A68,7,2),B67)</f>
        <v>DE</v>
      </c>
      <c r="C68">
        <f t="shared" si="9"/>
        <v>20</v>
      </c>
      <c r="D68" t="b">
        <f t="shared" si="10"/>
        <v>1</v>
      </c>
      <c r="G68" t="str">
        <v xml:space="preserve">Stage 7 Clear  in 100 turns </v>
      </c>
      <c r="H68" t="str">
        <v>DS</v>
      </c>
      <c r="I68">
        <v>7</v>
      </c>
      <c r="J68" t="b">
        <v>1</v>
      </c>
      <c r="L68" t="str">
        <f t="shared" si="11"/>
        <v>DS7</v>
      </c>
      <c r="M68" t="str">
        <f t="shared" si="7"/>
        <v>DS</v>
      </c>
      <c r="N68" s="32">
        <f t="shared" si="8"/>
        <v>7</v>
      </c>
      <c r="O68" t="str">
        <f t="shared" si="12"/>
        <v>Clear in 100 turns</v>
      </c>
    </row>
    <row r="69" spans="1:15" x14ac:dyDescent="0.3">
      <c r="A69" t="s">
        <v>151</v>
      </c>
      <c r="B69" t="str">
        <f t="shared" si="13"/>
        <v>DS</v>
      </c>
      <c r="C69">
        <f t="shared" si="9"/>
        <v>0</v>
      </c>
      <c r="D69" t="str">
        <f t="shared" si="10"/>
        <v/>
      </c>
      <c r="G69" t="str">
        <v xml:space="preserve">Stage 8 Place 15+ HP Burn debuffs </v>
      </c>
      <c r="H69" t="str">
        <v>DS</v>
      </c>
      <c r="I69">
        <v>8</v>
      </c>
      <c r="J69" t="b">
        <v>1</v>
      </c>
      <c r="L69" t="str">
        <f t="shared" si="11"/>
        <v>DS8</v>
      </c>
      <c r="M69" t="str">
        <f t="shared" si="7"/>
        <v>DS</v>
      </c>
      <c r="N69" s="32">
        <f t="shared" si="8"/>
        <v>8</v>
      </c>
      <c r="O69" t="str">
        <f t="shared" si="12"/>
        <v>Place 15+ HP Burn debuffs</v>
      </c>
    </row>
    <row r="70" spans="1:15" x14ac:dyDescent="0.3">
      <c r="B70" t="str">
        <f t="shared" si="13"/>
        <v>DS</v>
      </c>
      <c r="C70">
        <f t="shared" si="9"/>
        <v>0</v>
      </c>
      <c r="D70" t="str">
        <f t="shared" si="10"/>
        <v/>
      </c>
      <c r="G70" t="str">
        <v xml:space="preserve">Stage 9 Defeat 10+ using Bomb debuffs </v>
      </c>
      <c r="H70" t="str">
        <v>DS</v>
      </c>
      <c r="I70">
        <v>9</v>
      </c>
      <c r="J70" t="b">
        <v>1</v>
      </c>
      <c r="L70" t="str">
        <f t="shared" si="11"/>
        <v>DS9</v>
      </c>
      <c r="M70" t="str">
        <f t="shared" si="7"/>
        <v>DS</v>
      </c>
      <c r="N70" s="32">
        <f t="shared" si="8"/>
        <v>9</v>
      </c>
      <c r="O70" t="str">
        <f t="shared" si="12"/>
        <v>Defeat 10+ using Bomb debuffs</v>
      </c>
    </row>
    <row r="71" spans="1:15" x14ac:dyDescent="0.3">
      <c r="A71" t="s">
        <v>183</v>
      </c>
      <c r="B71" t="str">
        <f t="shared" si="13"/>
        <v>DS</v>
      </c>
      <c r="C71">
        <f t="shared" si="9"/>
        <v>1</v>
      </c>
      <c r="D71" t="b">
        <f t="shared" si="10"/>
        <v>1</v>
      </c>
      <c r="G71" t="str">
        <v xml:space="preserve">Stage 10 Use at least 3 Epic Champions </v>
      </c>
      <c r="H71" t="str">
        <v>DS</v>
      </c>
      <c r="I71">
        <v>10</v>
      </c>
      <c r="J71" t="b">
        <v>1</v>
      </c>
      <c r="L71" t="str">
        <f t="shared" si="11"/>
        <v>DS10</v>
      </c>
      <c r="M71" t="str">
        <f t="shared" si="7"/>
        <v>DS</v>
      </c>
      <c r="N71" s="32">
        <f t="shared" si="8"/>
        <v>10</v>
      </c>
      <c r="O71" t="str">
        <f t="shared" si="12"/>
        <v>Use at least 3 Epic Champions</v>
      </c>
    </row>
    <row r="72" spans="1:15" x14ac:dyDescent="0.3">
      <c r="A72" t="s">
        <v>164</v>
      </c>
      <c r="B72" t="str">
        <f t="shared" si="13"/>
        <v>DS</v>
      </c>
      <c r="C72">
        <f t="shared" si="9"/>
        <v>2</v>
      </c>
      <c r="D72" t="b">
        <f t="shared" si="10"/>
        <v>1</v>
      </c>
      <c r="G72" t="str">
        <v xml:space="preserve">Stage 11 Defeat all when they have no buffs on them </v>
      </c>
      <c r="H72" t="str">
        <v>DS</v>
      </c>
      <c r="I72">
        <v>11</v>
      </c>
      <c r="J72" t="b">
        <v>1</v>
      </c>
      <c r="L72" t="str">
        <f t="shared" si="11"/>
        <v>DS11</v>
      </c>
      <c r="M72" t="str">
        <f t="shared" si="7"/>
        <v>DS</v>
      </c>
      <c r="N72" s="32">
        <f t="shared" si="8"/>
        <v>11</v>
      </c>
      <c r="O72" t="str">
        <f t="shared" si="12"/>
        <v>Defeat all when they have no buffs on them</v>
      </c>
    </row>
    <row r="73" spans="1:15" x14ac:dyDescent="0.3">
      <c r="A73" t="s">
        <v>184</v>
      </c>
      <c r="B73" t="str">
        <f t="shared" si="13"/>
        <v>DS</v>
      </c>
      <c r="C73">
        <f t="shared" si="9"/>
        <v>3</v>
      </c>
      <c r="D73" t="b">
        <f t="shared" si="10"/>
        <v>1</v>
      </c>
      <c r="G73" t="str">
        <v xml:space="preserve">Stage 12 Place 15+ Provoke debuffs </v>
      </c>
      <c r="H73" t="str">
        <v>DS</v>
      </c>
      <c r="I73">
        <v>12</v>
      </c>
      <c r="J73" t="b">
        <v>1</v>
      </c>
      <c r="L73" t="str">
        <f t="shared" si="11"/>
        <v>DS12</v>
      </c>
      <c r="M73" t="str">
        <f t="shared" si="7"/>
        <v>DS</v>
      </c>
      <c r="N73" s="32">
        <f t="shared" si="8"/>
        <v>12</v>
      </c>
      <c r="O73" t="str">
        <f t="shared" si="12"/>
        <v>Place 15+ Provoke debuffs</v>
      </c>
    </row>
    <row r="74" spans="1:15" x14ac:dyDescent="0.3">
      <c r="A74" t="s">
        <v>298</v>
      </c>
      <c r="B74" t="str">
        <f t="shared" si="13"/>
        <v>DS</v>
      </c>
      <c r="C74">
        <f t="shared" si="9"/>
        <v>4</v>
      </c>
      <c r="D74" t="b">
        <f t="shared" si="10"/>
        <v>1</v>
      </c>
      <c r="G74" t="str">
        <v xml:space="preserve">Stage 13 Place 15+ Stun debuffs </v>
      </c>
      <c r="H74" t="str">
        <v>DS</v>
      </c>
      <c r="I74">
        <v>13</v>
      </c>
      <c r="J74" t="b">
        <v>1</v>
      </c>
      <c r="L74" t="str">
        <f t="shared" si="11"/>
        <v>DS13</v>
      </c>
      <c r="M74" t="str">
        <f t="shared" si="7"/>
        <v>DS</v>
      </c>
      <c r="N74" s="32">
        <f t="shared" si="8"/>
        <v>13</v>
      </c>
      <c r="O74" t="str">
        <f t="shared" si="12"/>
        <v>Place 15+ Stun debuffs</v>
      </c>
    </row>
    <row r="75" spans="1:15" x14ac:dyDescent="0.3">
      <c r="A75" t="s">
        <v>185</v>
      </c>
      <c r="B75" t="str">
        <f t="shared" si="13"/>
        <v>DS</v>
      </c>
      <c r="C75">
        <f t="shared" si="9"/>
        <v>5</v>
      </c>
      <c r="D75" t="b">
        <f t="shared" si="10"/>
        <v>1</v>
      </c>
      <c r="G75" t="str">
        <v xml:space="preserve">Stage 14 Clear  in 150 turns </v>
      </c>
      <c r="H75" t="str">
        <v>DS</v>
      </c>
      <c r="I75">
        <v>14</v>
      </c>
      <c r="J75" t="b">
        <v>1</v>
      </c>
      <c r="L75" t="str">
        <f t="shared" si="11"/>
        <v>DS14</v>
      </c>
      <c r="M75" t="str">
        <f t="shared" si="7"/>
        <v>DS</v>
      </c>
      <c r="N75" s="32">
        <f t="shared" si="8"/>
        <v>14</v>
      </c>
      <c r="O75" t="str">
        <f t="shared" si="12"/>
        <v>Clear in 150 turns</v>
      </c>
    </row>
    <row r="76" spans="1:15" x14ac:dyDescent="0.3">
      <c r="A76" t="s">
        <v>178</v>
      </c>
      <c r="B76" t="str">
        <f t="shared" si="13"/>
        <v>DS</v>
      </c>
      <c r="C76">
        <f t="shared" si="9"/>
        <v>6</v>
      </c>
      <c r="D76" t="b">
        <f t="shared" si="10"/>
        <v>1</v>
      </c>
      <c r="G76" t="str">
        <v xml:space="preserve">Stage 15 Beat  with all Champions alive at all times </v>
      </c>
      <c r="H76" t="str">
        <v>DS</v>
      </c>
      <c r="I76">
        <v>15</v>
      </c>
      <c r="J76" t="b">
        <v>1</v>
      </c>
      <c r="L76" t="str">
        <f t="shared" si="11"/>
        <v>DS15</v>
      </c>
      <c r="M76" t="str">
        <f t="shared" si="7"/>
        <v>DS</v>
      </c>
      <c r="N76" s="32">
        <f t="shared" si="8"/>
        <v>15</v>
      </c>
      <c r="O76" t="str">
        <f t="shared" si="12"/>
        <v>Beat with all Champions alive at all times</v>
      </c>
    </row>
    <row r="77" spans="1:15" x14ac:dyDescent="0.3">
      <c r="A77" t="s">
        <v>167</v>
      </c>
      <c r="B77" t="str">
        <f t="shared" si="13"/>
        <v>DS</v>
      </c>
      <c r="C77">
        <f t="shared" si="9"/>
        <v>7</v>
      </c>
      <c r="D77" t="b">
        <f t="shared" si="10"/>
        <v>1</v>
      </c>
      <c r="G77" t="str">
        <v xml:space="preserve">Stage 16 Dont let enemies use any active skills </v>
      </c>
      <c r="H77" t="str">
        <v>DS</v>
      </c>
      <c r="I77">
        <v>16</v>
      </c>
      <c r="J77" t="b">
        <v>1</v>
      </c>
      <c r="L77" t="str">
        <f t="shared" si="11"/>
        <v>DS16</v>
      </c>
      <c r="M77" t="str">
        <f t="shared" si="7"/>
        <v>DS</v>
      </c>
      <c r="N77" s="32">
        <f t="shared" si="8"/>
        <v>16</v>
      </c>
      <c r="O77" t="str">
        <f t="shared" si="12"/>
        <v>Dont let enemies use any active skills</v>
      </c>
    </row>
    <row r="78" spans="1:15" x14ac:dyDescent="0.3">
      <c r="A78" t="s">
        <v>186</v>
      </c>
      <c r="B78" t="str">
        <f t="shared" si="13"/>
        <v>DS</v>
      </c>
      <c r="C78">
        <f t="shared" si="9"/>
        <v>8</v>
      </c>
      <c r="D78" t="b">
        <f t="shared" si="10"/>
        <v>1</v>
      </c>
      <c r="G78" t="str">
        <v xml:space="preserve">Stage 17 Dont land any weak hits </v>
      </c>
      <c r="H78" t="str">
        <v>DS</v>
      </c>
      <c r="I78">
        <v>17</v>
      </c>
      <c r="J78" t="b">
        <v>1</v>
      </c>
      <c r="L78" t="str">
        <f t="shared" si="11"/>
        <v>DS17</v>
      </c>
      <c r="M78" t="str">
        <f t="shared" si="7"/>
        <v>DS</v>
      </c>
      <c r="N78" s="32">
        <f t="shared" si="8"/>
        <v>17</v>
      </c>
      <c r="O78" t="str">
        <f t="shared" si="12"/>
        <v>Dont land any weak hits</v>
      </c>
    </row>
    <row r="79" spans="1:15" x14ac:dyDescent="0.3">
      <c r="A79" t="s">
        <v>299</v>
      </c>
      <c r="B79" t="str">
        <f t="shared" si="13"/>
        <v>DS</v>
      </c>
      <c r="C79">
        <f t="shared" si="9"/>
        <v>9</v>
      </c>
      <c r="D79" t="b">
        <f t="shared" si="10"/>
        <v>1</v>
      </c>
      <c r="G79" t="str">
        <v xml:space="preserve">Stage 18 Defeat 10+ while your Champions are under Perfect Veil </v>
      </c>
      <c r="H79" t="str">
        <v>DS</v>
      </c>
      <c r="I79">
        <v>18</v>
      </c>
      <c r="J79" t="b">
        <v>1</v>
      </c>
      <c r="L79" t="str">
        <f t="shared" si="11"/>
        <v>DS18</v>
      </c>
      <c r="M79" t="str">
        <f t="shared" si="7"/>
        <v>DS</v>
      </c>
      <c r="N79" s="32">
        <f t="shared" si="8"/>
        <v>18</v>
      </c>
      <c r="O79" t="str">
        <f t="shared" si="12"/>
        <v>Defeat 10+ while your Champions are under Perfect Veil</v>
      </c>
    </row>
    <row r="80" spans="1:15" x14ac:dyDescent="0.3">
      <c r="A80" t="s">
        <v>169</v>
      </c>
      <c r="B80" t="str">
        <f t="shared" si="13"/>
        <v>DS</v>
      </c>
      <c r="C80">
        <f t="shared" si="9"/>
        <v>10</v>
      </c>
      <c r="D80" t="b">
        <f t="shared" si="10"/>
        <v>1</v>
      </c>
      <c r="G80" t="str">
        <v xml:space="preserve">Stage 19 Place 10+ Block Revive debuffs </v>
      </c>
      <c r="H80" t="str">
        <v>DS</v>
      </c>
      <c r="I80">
        <v>19</v>
      </c>
      <c r="J80" t="b">
        <v>1</v>
      </c>
      <c r="L80" t="str">
        <f t="shared" si="11"/>
        <v>DS19</v>
      </c>
      <c r="M80" t="str">
        <f t="shared" si="7"/>
        <v>DS</v>
      </c>
      <c r="N80" s="32">
        <f t="shared" si="8"/>
        <v>19</v>
      </c>
      <c r="O80" t="str">
        <f t="shared" si="12"/>
        <v>Place 10+ Block Revive debuffs</v>
      </c>
    </row>
    <row r="81" spans="1:15" x14ac:dyDescent="0.3">
      <c r="A81" t="s">
        <v>291</v>
      </c>
      <c r="B81" t="str">
        <f t="shared" si="13"/>
        <v>DS</v>
      </c>
      <c r="C81">
        <f t="shared" si="9"/>
        <v>11</v>
      </c>
      <c r="D81" t="b">
        <f t="shared" si="10"/>
        <v>1</v>
      </c>
      <c r="G81" t="str">
        <v>Stage 20 Defeat 4+ before they take a turn</v>
      </c>
      <c r="H81" t="str">
        <v>DS</v>
      </c>
      <c r="I81">
        <v>20</v>
      </c>
      <c r="J81" t="b">
        <v>1</v>
      </c>
      <c r="L81" t="str">
        <f t="shared" si="11"/>
        <v>DS20</v>
      </c>
      <c r="M81" t="str">
        <f t="shared" si="7"/>
        <v>DS</v>
      </c>
      <c r="N81" s="32">
        <f t="shared" si="8"/>
        <v>20</v>
      </c>
      <c r="O81" t="str">
        <f t="shared" si="12"/>
        <v>Defeat 4+ before they take a turn</v>
      </c>
    </row>
    <row r="82" spans="1:15" x14ac:dyDescent="0.3">
      <c r="A82" t="s">
        <v>221</v>
      </c>
      <c r="B82" t="str">
        <f t="shared" si="13"/>
        <v>DS</v>
      </c>
      <c r="C82">
        <f t="shared" si="9"/>
        <v>12</v>
      </c>
      <c r="D82" t="b">
        <f t="shared" si="10"/>
        <v>1</v>
      </c>
      <c r="G82" t="str">
        <v xml:space="preserve">Stage 1 Place 10+ HP Burn debuffs </v>
      </c>
      <c r="H82" t="str">
        <v>DW</v>
      </c>
      <c r="I82">
        <v>1</v>
      </c>
      <c r="J82" t="b">
        <v>1</v>
      </c>
      <c r="L82" t="str">
        <f t="shared" si="11"/>
        <v>DW1</v>
      </c>
      <c r="M82" t="str">
        <f t="shared" si="7"/>
        <v>DW</v>
      </c>
      <c r="N82" s="32">
        <f t="shared" si="8"/>
        <v>1</v>
      </c>
      <c r="O82" t="str">
        <f t="shared" si="12"/>
        <v>Place 10+ HP Burn debuffs</v>
      </c>
    </row>
    <row r="83" spans="1:15" x14ac:dyDescent="0.3">
      <c r="A83" t="s">
        <v>187</v>
      </c>
      <c r="B83" t="str">
        <f t="shared" si="13"/>
        <v>DS</v>
      </c>
      <c r="C83">
        <f t="shared" si="9"/>
        <v>13</v>
      </c>
      <c r="D83" t="b">
        <f t="shared" si="10"/>
        <v>1</v>
      </c>
      <c r="G83" t="str">
        <v xml:space="preserve">Stage 2 Place 10+ Stun debuffs </v>
      </c>
      <c r="H83" t="str">
        <v>DW</v>
      </c>
      <c r="I83">
        <v>2</v>
      </c>
      <c r="J83" t="b">
        <v>1</v>
      </c>
      <c r="L83" t="str">
        <f t="shared" si="11"/>
        <v>DW2</v>
      </c>
      <c r="M83" t="str">
        <f t="shared" si="7"/>
        <v>DW</v>
      </c>
      <c r="N83" s="32">
        <f t="shared" si="8"/>
        <v>2</v>
      </c>
      <c r="O83" t="str">
        <f t="shared" si="12"/>
        <v>Place 10+ Stun debuffs</v>
      </c>
    </row>
    <row r="84" spans="1:15" x14ac:dyDescent="0.3">
      <c r="A84" t="s">
        <v>195</v>
      </c>
      <c r="B84" t="str">
        <f t="shared" si="13"/>
        <v>DS</v>
      </c>
      <c r="C84">
        <f t="shared" si="9"/>
        <v>14</v>
      </c>
      <c r="D84" t="b">
        <f t="shared" si="10"/>
        <v>1</v>
      </c>
      <c r="G84" t="str">
        <v xml:space="preserve">Stage 3 Place 10+ Provoke debuffs </v>
      </c>
      <c r="H84" t="str">
        <v>DW</v>
      </c>
      <c r="I84">
        <v>3</v>
      </c>
      <c r="J84" t="b">
        <v>1</v>
      </c>
      <c r="L84" t="str">
        <f t="shared" si="11"/>
        <v>DW3</v>
      </c>
      <c r="M84" t="str">
        <f t="shared" si="7"/>
        <v>DW</v>
      </c>
      <c r="N84" s="32">
        <f t="shared" si="8"/>
        <v>3</v>
      </c>
      <c r="O84" t="str">
        <f t="shared" si="12"/>
        <v>Place 10+ Provoke debuffs</v>
      </c>
    </row>
    <row r="85" spans="1:15" x14ac:dyDescent="0.3">
      <c r="A85" t="s">
        <v>172</v>
      </c>
      <c r="B85" t="str">
        <f t="shared" si="13"/>
        <v>DS</v>
      </c>
      <c r="C85">
        <f t="shared" si="9"/>
        <v>15</v>
      </c>
      <c r="D85" t="b">
        <f t="shared" si="10"/>
        <v>1</v>
      </c>
      <c r="G85" t="str">
        <v xml:space="preserve">Stage 4 Place 10+ Freeze debuffs </v>
      </c>
      <c r="H85" t="str">
        <v>DW</v>
      </c>
      <c r="I85">
        <v>4</v>
      </c>
      <c r="J85" t="b">
        <v>1</v>
      </c>
      <c r="L85" t="str">
        <f t="shared" si="11"/>
        <v>DW4</v>
      </c>
      <c r="M85" t="str">
        <f t="shared" si="7"/>
        <v>DW</v>
      </c>
      <c r="N85" s="32">
        <f t="shared" si="8"/>
        <v>4</v>
      </c>
      <c r="O85" t="str">
        <f t="shared" si="12"/>
        <v>Place 10+ Freeze debuffs</v>
      </c>
    </row>
    <row r="86" spans="1:15" x14ac:dyDescent="0.3">
      <c r="A86" t="s">
        <v>349</v>
      </c>
      <c r="B86" t="str">
        <f t="shared" si="13"/>
        <v>DS</v>
      </c>
      <c r="C86">
        <f t="shared" si="9"/>
        <v>16</v>
      </c>
      <c r="D86" t="b">
        <f t="shared" si="10"/>
        <v>1</v>
      </c>
      <c r="G86" t="str">
        <v>Stage 5 Reduce 6+ HP by 50% with one skill</v>
      </c>
      <c r="H86" t="str">
        <v>DW</v>
      </c>
      <c r="I86">
        <v>5</v>
      </c>
      <c r="J86" t="b">
        <v>1</v>
      </c>
      <c r="L86" t="str">
        <f t="shared" si="11"/>
        <v>DW5</v>
      </c>
      <c r="M86" t="str">
        <f t="shared" si="7"/>
        <v>DW</v>
      </c>
      <c r="N86" s="32">
        <f t="shared" si="8"/>
        <v>5</v>
      </c>
      <c r="O86" t="str">
        <f t="shared" si="12"/>
        <v>Reduce 6+ HP by 50% with one skill</v>
      </c>
    </row>
    <row r="87" spans="1:15" x14ac:dyDescent="0.3">
      <c r="A87" t="s">
        <v>261</v>
      </c>
      <c r="B87" t="str">
        <f t="shared" si="13"/>
        <v>DS</v>
      </c>
      <c r="C87">
        <f t="shared" si="9"/>
        <v>17</v>
      </c>
      <c r="D87" t="b">
        <f t="shared" si="10"/>
        <v>1</v>
      </c>
      <c r="G87" t="str">
        <v xml:space="preserve">Stage 6 Manipulate Turn Meters 40+ times </v>
      </c>
      <c r="H87" t="str">
        <v>DW</v>
      </c>
      <c r="I87">
        <v>6</v>
      </c>
      <c r="J87" t="b">
        <v>1</v>
      </c>
      <c r="L87" t="str">
        <f t="shared" si="11"/>
        <v>DW6</v>
      </c>
      <c r="M87" t="str">
        <f t="shared" si="7"/>
        <v>DW</v>
      </c>
      <c r="N87" s="32">
        <f t="shared" si="8"/>
        <v>6</v>
      </c>
      <c r="O87" t="str">
        <f t="shared" si="12"/>
        <v>Manipulate Turn Meters 40+ times</v>
      </c>
    </row>
    <row r="88" spans="1:15" x14ac:dyDescent="0.3">
      <c r="A88" t="s">
        <v>296</v>
      </c>
      <c r="B88" t="str">
        <f t="shared" si="13"/>
        <v>DS</v>
      </c>
      <c r="C88">
        <f t="shared" si="9"/>
        <v>18</v>
      </c>
      <c r="D88" t="b">
        <f t="shared" si="10"/>
        <v>1</v>
      </c>
      <c r="G88" t="str">
        <v xml:space="preserve">Stage 7 Clear  in 100 turns </v>
      </c>
      <c r="H88" t="str">
        <v>DW</v>
      </c>
      <c r="I88">
        <v>7</v>
      </c>
      <c r="J88" t="b">
        <v>1</v>
      </c>
      <c r="L88" t="str">
        <f t="shared" si="11"/>
        <v>DW7</v>
      </c>
      <c r="M88" t="str">
        <f t="shared" si="7"/>
        <v>DW</v>
      </c>
      <c r="N88" s="32">
        <f t="shared" si="8"/>
        <v>7</v>
      </c>
      <c r="O88" t="str">
        <f t="shared" si="12"/>
        <v>Clear in 100 turns</v>
      </c>
    </row>
    <row r="89" spans="1:15" x14ac:dyDescent="0.3">
      <c r="A89" t="s">
        <v>188</v>
      </c>
      <c r="B89" t="str">
        <f t="shared" si="13"/>
        <v>DS</v>
      </c>
      <c r="C89">
        <f t="shared" si="9"/>
        <v>19</v>
      </c>
      <c r="D89" t="b">
        <f t="shared" si="10"/>
        <v>1</v>
      </c>
      <c r="G89" t="str">
        <v xml:space="preserve">Stage 8 Place 15+ HP Burn debuffs </v>
      </c>
      <c r="H89" t="str">
        <v>DW</v>
      </c>
      <c r="I89">
        <v>8</v>
      </c>
      <c r="J89" t="b">
        <v>1</v>
      </c>
      <c r="L89" t="str">
        <f t="shared" si="11"/>
        <v>DW8</v>
      </c>
      <c r="M89" t="str">
        <f t="shared" si="7"/>
        <v>DW</v>
      </c>
      <c r="N89" s="32">
        <f t="shared" si="8"/>
        <v>8</v>
      </c>
      <c r="O89" t="str">
        <f t="shared" si="12"/>
        <v>Place 15+ HP Burn debuffs</v>
      </c>
    </row>
    <row r="90" spans="1:15" x14ac:dyDescent="0.3">
      <c r="A90" t="s">
        <v>300</v>
      </c>
      <c r="B90" t="str">
        <f t="shared" si="13"/>
        <v>DS</v>
      </c>
      <c r="C90">
        <f t="shared" si="9"/>
        <v>20</v>
      </c>
      <c r="D90" t="b">
        <f t="shared" si="10"/>
        <v>1</v>
      </c>
      <c r="G90" t="str">
        <v xml:space="preserve">Stage 9 Place 15+ Stun debuffs </v>
      </c>
      <c r="H90" t="str">
        <v>DW</v>
      </c>
      <c r="I90">
        <v>9</v>
      </c>
      <c r="J90" t="b">
        <v>1</v>
      </c>
      <c r="L90" t="str">
        <f t="shared" si="11"/>
        <v>DW9</v>
      </c>
      <c r="M90" t="str">
        <f t="shared" si="7"/>
        <v>DW</v>
      </c>
      <c r="N90" s="32">
        <f t="shared" si="8"/>
        <v>9</v>
      </c>
      <c r="O90" t="str">
        <f t="shared" si="12"/>
        <v>Place 15+ Stun debuffs</v>
      </c>
    </row>
    <row r="91" spans="1:15" x14ac:dyDescent="0.3">
      <c r="A91" t="s">
        <v>152</v>
      </c>
      <c r="B91" t="str">
        <f t="shared" si="13"/>
        <v>DW</v>
      </c>
      <c r="C91">
        <f t="shared" si="9"/>
        <v>0</v>
      </c>
      <c r="D91" t="str">
        <f t="shared" si="10"/>
        <v/>
      </c>
      <c r="G91" t="str">
        <v xml:space="preserve">Stage 10 Use at least 3 Epic Champions </v>
      </c>
      <c r="H91" t="str">
        <v>DW</v>
      </c>
      <c r="I91">
        <v>10</v>
      </c>
      <c r="J91" t="b">
        <v>1</v>
      </c>
      <c r="L91" t="str">
        <f t="shared" si="11"/>
        <v>DW10</v>
      </c>
      <c r="M91" t="str">
        <f t="shared" si="7"/>
        <v>DW</v>
      </c>
      <c r="N91" s="32">
        <f t="shared" si="8"/>
        <v>10</v>
      </c>
      <c r="O91" t="str">
        <f t="shared" si="12"/>
        <v>Use at least 3 Epic Champions</v>
      </c>
    </row>
    <row r="92" spans="1:15" x14ac:dyDescent="0.3">
      <c r="B92" t="str">
        <f t="shared" si="13"/>
        <v>DW</v>
      </c>
      <c r="C92">
        <f t="shared" si="9"/>
        <v>0</v>
      </c>
      <c r="D92" t="str">
        <f t="shared" si="10"/>
        <v/>
      </c>
      <c r="G92" t="str">
        <v>Stage 11 Place 15+ Provoke debuffs</v>
      </c>
      <c r="H92" t="str">
        <v>DW</v>
      </c>
      <c r="I92">
        <v>11</v>
      </c>
      <c r="J92" t="b">
        <v>1</v>
      </c>
      <c r="L92" t="str">
        <f t="shared" si="11"/>
        <v>DW11</v>
      </c>
      <c r="M92" t="str">
        <f t="shared" si="7"/>
        <v>DW</v>
      </c>
      <c r="N92" s="32">
        <f t="shared" si="8"/>
        <v>11</v>
      </c>
      <c r="O92" t="str">
        <f t="shared" si="12"/>
        <v>Place 15+ Provoke debuffs</v>
      </c>
    </row>
    <row r="93" spans="1:15" x14ac:dyDescent="0.3">
      <c r="A93" t="s">
        <v>183</v>
      </c>
      <c r="B93" t="str">
        <f t="shared" si="13"/>
        <v>DW</v>
      </c>
      <c r="C93">
        <f t="shared" si="9"/>
        <v>1</v>
      </c>
      <c r="D93" t="b">
        <f t="shared" si="10"/>
        <v>1</v>
      </c>
      <c r="G93" t="str">
        <v xml:space="preserve">Stage 12 Defeat all when they have no buffs on them </v>
      </c>
      <c r="H93" t="str">
        <v>DW</v>
      </c>
      <c r="I93">
        <v>12</v>
      </c>
      <c r="J93" t="b">
        <v>1</v>
      </c>
      <c r="L93" t="str">
        <f t="shared" si="11"/>
        <v>DW12</v>
      </c>
      <c r="M93" t="str">
        <f t="shared" si="7"/>
        <v>DW</v>
      </c>
      <c r="N93" s="32">
        <f t="shared" si="8"/>
        <v>12</v>
      </c>
      <c r="O93" t="str">
        <f t="shared" si="12"/>
        <v>Defeat all when they have no buffs on them</v>
      </c>
    </row>
    <row r="94" spans="1:15" x14ac:dyDescent="0.3">
      <c r="A94" t="s">
        <v>197</v>
      </c>
      <c r="B94" t="str">
        <f t="shared" si="13"/>
        <v>DW</v>
      </c>
      <c r="C94">
        <f t="shared" si="9"/>
        <v>2</v>
      </c>
      <c r="D94" t="b">
        <f t="shared" si="10"/>
        <v>1</v>
      </c>
      <c r="G94" t="str">
        <v>Stage 13 Manipulate skill cooldowns 15+ times</v>
      </c>
      <c r="H94" t="str">
        <v>DW</v>
      </c>
      <c r="I94">
        <v>13</v>
      </c>
      <c r="J94" t="b">
        <v>1</v>
      </c>
      <c r="L94" t="str">
        <f t="shared" si="11"/>
        <v>DW13</v>
      </c>
      <c r="M94" t="str">
        <f t="shared" si="7"/>
        <v>DW</v>
      </c>
      <c r="N94" s="32">
        <f t="shared" si="8"/>
        <v>13</v>
      </c>
      <c r="O94" t="str">
        <f t="shared" si="12"/>
        <v>Manipulate skill cooldowns 15+ times</v>
      </c>
    </row>
    <row r="95" spans="1:15" x14ac:dyDescent="0.3">
      <c r="A95" t="s">
        <v>176</v>
      </c>
      <c r="B95" t="str">
        <f t="shared" si="13"/>
        <v>DW</v>
      </c>
      <c r="C95">
        <f t="shared" si="9"/>
        <v>3</v>
      </c>
      <c r="D95" t="b">
        <f t="shared" si="10"/>
        <v>1</v>
      </c>
      <c r="G95" t="str">
        <v>Stage 14 Clear  in 150 turns</v>
      </c>
      <c r="H95" t="str">
        <v>DW</v>
      </c>
      <c r="I95">
        <v>14</v>
      </c>
      <c r="J95" t="b">
        <v>1</v>
      </c>
      <c r="L95" t="str">
        <f t="shared" si="11"/>
        <v>DW14</v>
      </c>
      <c r="M95" t="str">
        <f t="shared" si="7"/>
        <v>DW</v>
      </c>
      <c r="N95" s="32">
        <f t="shared" si="8"/>
        <v>14</v>
      </c>
      <c r="O95" t="str">
        <f t="shared" si="12"/>
        <v>Clear in 150 turns</v>
      </c>
    </row>
    <row r="96" spans="1:15" x14ac:dyDescent="0.3">
      <c r="A96" t="s">
        <v>213</v>
      </c>
      <c r="B96" t="str">
        <f t="shared" si="13"/>
        <v>DW</v>
      </c>
      <c r="C96">
        <f t="shared" si="9"/>
        <v>4</v>
      </c>
      <c r="D96" t="b">
        <f t="shared" si="10"/>
        <v>1</v>
      </c>
      <c r="G96" t="str">
        <v xml:space="preserve">Stage 15 Beat  with all Champions alive at all times </v>
      </c>
      <c r="H96" t="str">
        <v>DW</v>
      </c>
      <c r="I96">
        <v>15</v>
      </c>
      <c r="J96" t="b">
        <v>1</v>
      </c>
      <c r="L96" t="str">
        <f t="shared" si="11"/>
        <v>DW15</v>
      </c>
      <c r="M96" t="str">
        <f t="shared" si="7"/>
        <v>DW</v>
      </c>
      <c r="N96" s="32">
        <f t="shared" si="8"/>
        <v>15</v>
      </c>
      <c r="O96" t="str">
        <f t="shared" si="12"/>
        <v>Beat with all Champions alive at all times</v>
      </c>
    </row>
    <row r="97" spans="1:15" x14ac:dyDescent="0.3">
      <c r="A97" t="s">
        <v>301</v>
      </c>
      <c r="B97" t="str">
        <f t="shared" si="13"/>
        <v>DW</v>
      </c>
      <c r="C97">
        <f t="shared" si="9"/>
        <v>5</v>
      </c>
      <c r="D97" t="b">
        <f t="shared" si="10"/>
        <v>1</v>
      </c>
      <c r="G97" t="str">
        <v xml:space="preserve">Stage 16 Defeat 3+ using Ally Attack skills or counterattacks </v>
      </c>
      <c r="H97" t="str">
        <v>DW</v>
      </c>
      <c r="I97">
        <v>16</v>
      </c>
      <c r="J97" t="b">
        <v>1</v>
      </c>
      <c r="L97" t="str">
        <f t="shared" si="11"/>
        <v>DW16</v>
      </c>
      <c r="M97" t="str">
        <f t="shared" si="7"/>
        <v>DW</v>
      </c>
      <c r="N97" s="32">
        <f t="shared" si="8"/>
        <v>16</v>
      </c>
      <c r="O97" t="str">
        <f t="shared" si="12"/>
        <v>Defeat 3+ using Ally Attack skills or counterattacks</v>
      </c>
    </row>
    <row r="98" spans="1:15" x14ac:dyDescent="0.3">
      <c r="A98" t="s">
        <v>178</v>
      </c>
      <c r="B98" t="str">
        <f t="shared" si="13"/>
        <v>DW</v>
      </c>
      <c r="C98">
        <f t="shared" si="9"/>
        <v>6</v>
      </c>
      <c r="D98" t="b">
        <f t="shared" si="10"/>
        <v>1</v>
      </c>
      <c r="G98" t="str">
        <v xml:space="preserve">Stage 17 Dont land any weak hits </v>
      </c>
      <c r="H98" t="str">
        <v>DW</v>
      </c>
      <c r="I98">
        <v>17</v>
      </c>
      <c r="J98" t="b">
        <v>1</v>
      </c>
      <c r="L98" t="str">
        <f t="shared" si="11"/>
        <v>DW17</v>
      </c>
      <c r="M98" t="str">
        <f t="shared" si="7"/>
        <v>DW</v>
      </c>
      <c r="N98" s="32">
        <f t="shared" si="8"/>
        <v>17</v>
      </c>
      <c r="O98" t="str">
        <f t="shared" si="12"/>
        <v>Dont land any weak hits</v>
      </c>
    </row>
    <row r="99" spans="1:15" x14ac:dyDescent="0.3">
      <c r="A99" t="s">
        <v>167</v>
      </c>
      <c r="B99" t="str">
        <f t="shared" si="13"/>
        <v>DW</v>
      </c>
      <c r="C99">
        <f t="shared" si="9"/>
        <v>7</v>
      </c>
      <c r="D99" t="b">
        <f t="shared" si="10"/>
        <v>1</v>
      </c>
      <c r="G99" t="str">
        <v>Stage 18 Get an Extra Turn 5+ times</v>
      </c>
      <c r="H99" t="str">
        <v>DW</v>
      </c>
      <c r="I99">
        <v>18</v>
      </c>
      <c r="J99" t="b">
        <v>1</v>
      </c>
      <c r="L99" t="str">
        <f t="shared" si="11"/>
        <v>DW18</v>
      </c>
      <c r="M99" t="str">
        <f t="shared" si="7"/>
        <v>DW</v>
      </c>
      <c r="N99" s="32">
        <f t="shared" si="8"/>
        <v>18</v>
      </c>
      <c r="O99" t="str">
        <f t="shared" si="12"/>
        <v>Get an Extra Turn 5+ times</v>
      </c>
    </row>
    <row r="100" spans="1:15" x14ac:dyDescent="0.3">
      <c r="A100" t="s">
        <v>186</v>
      </c>
      <c r="B100" t="str">
        <f t="shared" si="13"/>
        <v>DW</v>
      </c>
      <c r="C100">
        <f t="shared" si="9"/>
        <v>8</v>
      </c>
      <c r="D100" t="b">
        <f t="shared" si="10"/>
        <v>1</v>
      </c>
      <c r="G100" t="str">
        <v xml:space="preserve">Stage 19 Defeat 3+ while your Champions are under 7 or more buffs </v>
      </c>
      <c r="H100" t="str">
        <v>DW</v>
      </c>
      <c r="I100">
        <v>19</v>
      </c>
      <c r="J100" t="b">
        <v>1</v>
      </c>
      <c r="L100" t="str">
        <f t="shared" si="11"/>
        <v>DW19</v>
      </c>
      <c r="M100" t="str">
        <f t="shared" si="7"/>
        <v>DW</v>
      </c>
      <c r="N100" s="32">
        <f t="shared" si="8"/>
        <v>19</v>
      </c>
      <c r="O100" t="str">
        <f t="shared" si="12"/>
        <v>Defeat 3+ while your Champions are under 7 or more buffs</v>
      </c>
    </row>
    <row r="101" spans="1:15" x14ac:dyDescent="0.3">
      <c r="A101" t="s">
        <v>211</v>
      </c>
      <c r="B101" t="str">
        <f t="shared" si="13"/>
        <v>DW</v>
      </c>
      <c r="C101">
        <f t="shared" si="9"/>
        <v>9</v>
      </c>
      <c r="D101" t="b">
        <f t="shared" si="10"/>
        <v>1</v>
      </c>
      <c r="G101" t="str">
        <v>Stage 20 Keep all your Champions HP above 75%</v>
      </c>
      <c r="H101" t="str">
        <v>DW</v>
      </c>
      <c r="I101">
        <v>20</v>
      </c>
      <c r="J101" t="b">
        <v>1</v>
      </c>
      <c r="L101" t="str">
        <f t="shared" si="11"/>
        <v>DW20</v>
      </c>
      <c r="M101" t="str">
        <f t="shared" si="7"/>
        <v>DW</v>
      </c>
      <c r="N101" s="32">
        <f t="shared" si="8"/>
        <v>20</v>
      </c>
      <c r="O101" t="str">
        <f t="shared" si="12"/>
        <v>Keep all your Champions HP above 75%</v>
      </c>
    </row>
    <row r="102" spans="1:15" x14ac:dyDescent="0.3">
      <c r="A102" t="s">
        <v>169</v>
      </c>
      <c r="B102" t="str">
        <f t="shared" si="13"/>
        <v>DW</v>
      </c>
      <c r="C102">
        <f t="shared" si="9"/>
        <v>10</v>
      </c>
      <c r="D102" t="b">
        <f t="shared" si="10"/>
        <v>1</v>
      </c>
      <c r="G102" t="str">
        <v xml:space="preserve">Stage 1 Heal your Champions HP by 500000+ </v>
      </c>
      <c r="H102" t="str">
        <v>HE</v>
      </c>
      <c r="I102">
        <v>1</v>
      </c>
      <c r="J102" t="b">
        <v>1</v>
      </c>
      <c r="L102" t="str">
        <f t="shared" si="11"/>
        <v>HE1</v>
      </c>
      <c r="M102" t="str">
        <f t="shared" si="7"/>
        <v>HE</v>
      </c>
      <c r="N102" s="32">
        <f t="shared" si="8"/>
        <v>1</v>
      </c>
      <c r="O102" t="str">
        <f t="shared" si="12"/>
        <v>Heal your Champions HP by 500000+</v>
      </c>
    </row>
    <row r="103" spans="1:15" x14ac:dyDescent="0.3">
      <c r="A103" t="s">
        <v>147</v>
      </c>
      <c r="B103" t="str">
        <f t="shared" si="13"/>
        <v>DW</v>
      </c>
      <c r="C103">
        <f t="shared" si="9"/>
        <v>11</v>
      </c>
      <c r="D103" t="b">
        <f t="shared" si="10"/>
        <v>1</v>
      </c>
      <c r="G103" t="str">
        <v xml:space="preserve">Stage 2 Place 10+ Freeze debuffs </v>
      </c>
      <c r="H103" t="str">
        <v>HE</v>
      </c>
      <c r="I103">
        <v>2</v>
      </c>
      <c r="J103" t="b">
        <v>1</v>
      </c>
      <c r="L103" t="str">
        <f t="shared" si="11"/>
        <v>HE2</v>
      </c>
      <c r="M103" t="str">
        <f t="shared" si="7"/>
        <v>HE</v>
      </c>
      <c r="N103" s="32">
        <f t="shared" si="8"/>
        <v>2</v>
      </c>
      <c r="O103" t="str">
        <f t="shared" si="12"/>
        <v>Place 10+ Freeze debuffs</v>
      </c>
    </row>
    <row r="104" spans="1:15" x14ac:dyDescent="0.3">
      <c r="A104" t="s">
        <v>302</v>
      </c>
      <c r="B104" t="str">
        <f t="shared" si="13"/>
        <v>DW</v>
      </c>
      <c r="C104">
        <f t="shared" si="9"/>
        <v>12</v>
      </c>
      <c r="D104" t="b">
        <f t="shared" si="10"/>
        <v>1</v>
      </c>
      <c r="G104" t="str">
        <v xml:space="preserve">Stage 3 Place 10+ Stun debuffs </v>
      </c>
      <c r="H104" t="str">
        <v>HE</v>
      </c>
      <c r="I104">
        <v>3</v>
      </c>
      <c r="J104" t="b">
        <v>1</v>
      </c>
      <c r="L104" t="str">
        <f t="shared" si="11"/>
        <v>HE3</v>
      </c>
      <c r="M104" t="str">
        <f t="shared" si="7"/>
        <v>HE</v>
      </c>
      <c r="N104" s="32">
        <f t="shared" si="8"/>
        <v>3</v>
      </c>
      <c r="O104" t="str">
        <f t="shared" si="12"/>
        <v>Place 10+ Stun debuffs</v>
      </c>
    </row>
    <row r="105" spans="1:15" x14ac:dyDescent="0.3">
      <c r="A105" t="s">
        <v>258</v>
      </c>
      <c r="B105" t="str">
        <f t="shared" si="13"/>
        <v>DW</v>
      </c>
      <c r="C105">
        <f t="shared" si="9"/>
        <v>13</v>
      </c>
      <c r="D105" t="b">
        <f t="shared" si="10"/>
        <v>1</v>
      </c>
      <c r="G105" t="str">
        <v>Stage 4 Reduce 6+ HP by 50% with one skill</v>
      </c>
      <c r="H105" t="str">
        <v>HE</v>
      </c>
      <c r="I105">
        <v>4</v>
      </c>
      <c r="J105" t="b">
        <v>1</v>
      </c>
      <c r="L105" t="str">
        <f t="shared" si="11"/>
        <v>HE4</v>
      </c>
      <c r="M105" t="str">
        <f t="shared" si="7"/>
        <v>HE</v>
      </c>
      <c r="N105" s="32">
        <f t="shared" si="8"/>
        <v>4</v>
      </c>
      <c r="O105" t="str">
        <f t="shared" si="12"/>
        <v>Reduce 6+ HP by 50% with one skill</v>
      </c>
    </row>
    <row r="106" spans="1:15" x14ac:dyDescent="0.3">
      <c r="A106" t="s">
        <v>260</v>
      </c>
      <c r="B106" t="str">
        <f t="shared" si="13"/>
        <v>DW</v>
      </c>
      <c r="C106">
        <f t="shared" si="9"/>
        <v>14</v>
      </c>
      <c r="D106" t="b">
        <f t="shared" si="10"/>
        <v>1</v>
      </c>
      <c r="G106" t="str">
        <v xml:space="preserve">Stage 5 Manipulate buff or debuff duration 20+ times </v>
      </c>
      <c r="H106" t="str">
        <v>HE</v>
      </c>
      <c r="I106">
        <v>5</v>
      </c>
      <c r="J106" t="b">
        <v>1</v>
      </c>
      <c r="L106" t="str">
        <f t="shared" si="11"/>
        <v>HE5</v>
      </c>
      <c r="M106" t="str">
        <f t="shared" si="7"/>
        <v>HE</v>
      </c>
      <c r="N106" s="32">
        <f t="shared" si="8"/>
        <v>5</v>
      </c>
      <c r="O106" t="str">
        <f t="shared" si="12"/>
        <v>Manipulate buff or debuff duration 20+ times</v>
      </c>
    </row>
    <row r="107" spans="1:15" x14ac:dyDescent="0.3">
      <c r="A107" t="s">
        <v>172</v>
      </c>
      <c r="B107" t="str">
        <f t="shared" si="13"/>
        <v>DW</v>
      </c>
      <c r="C107">
        <f t="shared" si="9"/>
        <v>15</v>
      </c>
      <c r="D107" t="b">
        <f t="shared" si="10"/>
        <v>1</v>
      </c>
      <c r="G107" t="str">
        <v xml:space="preserve">Stage 6 Manipulate Turn Meters 40+ times </v>
      </c>
      <c r="H107" t="str">
        <v>HE</v>
      </c>
      <c r="I107">
        <v>6</v>
      </c>
      <c r="J107" t="b">
        <v>1</v>
      </c>
      <c r="L107" t="str">
        <f t="shared" si="11"/>
        <v>HE6</v>
      </c>
      <c r="M107" t="str">
        <f t="shared" si="7"/>
        <v>HE</v>
      </c>
      <c r="N107" s="32">
        <f t="shared" si="8"/>
        <v>6</v>
      </c>
      <c r="O107" t="str">
        <f t="shared" si="12"/>
        <v>Manipulate Turn Meters 40+ times</v>
      </c>
    </row>
    <row r="108" spans="1:15" x14ac:dyDescent="0.3">
      <c r="A108" t="s">
        <v>292</v>
      </c>
      <c r="B108" t="str">
        <f t="shared" si="13"/>
        <v>DW</v>
      </c>
      <c r="C108">
        <f t="shared" si="9"/>
        <v>16</v>
      </c>
      <c r="D108" t="b">
        <f t="shared" si="10"/>
        <v>1</v>
      </c>
      <c r="G108" t="str">
        <v xml:space="preserve">Stage 7 Clear  in 100 turns </v>
      </c>
      <c r="H108" t="str">
        <v>HE</v>
      </c>
      <c r="I108">
        <v>7</v>
      </c>
      <c r="J108" t="b">
        <v>1</v>
      </c>
      <c r="L108" t="str">
        <f t="shared" si="11"/>
        <v>HE7</v>
      </c>
      <c r="M108" t="str">
        <f t="shared" si="7"/>
        <v>HE</v>
      </c>
      <c r="N108" s="32">
        <f t="shared" si="8"/>
        <v>7</v>
      </c>
      <c r="O108" t="str">
        <f t="shared" si="12"/>
        <v>Clear in 100 turns</v>
      </c>
    </row>
    <row r="109" spans="1:15" x14ac:dyDescent="0.3">
      <c r="A109" t="s">
        <v>261</v>
      </c>
      <c r="B109" t="str">
        <f t="shared" si="13"/>
        <v>DW</v>
      </c>
      <c r="C109">
        <f t="shared" si="9"/>
        <v>17</v>
      </c>
      <c r="D109" t="b">
        <f t="shared" si="10"/>
        <v>1</v>
      </c>
      <c r="G109" t="str">
        <v xml:space="preserve">Stage 8 Heal your Champions HP by 1000000+ </v>
      </c>
      <c r="H109" t="str">
        <v>HE</v>
      </c>
      <c r="I109">
        <v>8</v>
      </c>
      <c r="J109" t="b">
        <v>1</v>
      </c>
      <c r="L109" t="str">
        <f t="shared" si="11"/>
        <v>HE8</v>
      </c>
      <c r="M109" t="str">
        <f t="shared" si="7"/>
        <v>HE</v>
      </c>
      <c r="N109" s="32">
        <f t="shared" si="8"/>
        <v>8</v>
      </c>
      <c r="O109" t="str">
        <f t="shared" si="12"/>
        <v>Heal your Champions HP by 1000000+</v>
      </c>
    </row>
    <row r="110" spans="1:15" x14ac:dyDescent="0.3">
      <c r="A110" t="s">
        <v>148</v>
      </c>
      <c r="B110" t="str">
        <f t="shared" si="13"/>
        <v>DW</v>
      </c>
      <c r="C110">
        <f t="shared" si="9"/>
        <v>18</v>
      </c>
      <c r="D110" t="b">
        <f t="shared" si="10"/>
        <v>1</v>
      </c>
      <c r="G110" t="str">
        <v xml:space="preserve">Stage 9 Place 15+ Freeze debuffs </v>
      </c>
      <c r="H110" t="str">
        <v>HE</v>
      </c>
      <c r="I110">
        <v>9</v>
      </c>
      <c r="J110" t="b">
        <v>1</v>
      </c>
      <c r="L110" t="str">
        <f t="shared" si="11"/>
        <v>HE9</v>
      </c>
      <c r="M110" t="str">
        <f t="shared" si="7"/>
        <v>HE</v>
      </c>
      <c r="N110" s="32">
        <f t="shared" si="8"/>
        <v>9</v>
      </c>
      <c r="O110" t="str">
        <f t="shared" si="12"/>
        <v>Place 15+ Freeze debuffs</v>
      </c>
    </row>
    <row r="111" spans="1:15" x14ac:dyDescent="0.3">
      <c r="A111" t="s">
        <v>303</v>
      </c>
      <c r="B111" t="str">
        <f t="shared" si="13"/>
        <v>DW</v>
      </c>
      <c r="C111">
        <f t="shared" si="9"/>
        <v>19</v>
      </c>
      <c r="D111" t="b">
        <f t="shared" si="10"/>
        <v>1</v>
      </c>
      <c r="G111" t="str">
        <v xml:space="preserve">Stage 10 Use at least 3 Epic Champions </v>
      </c>
      <c r="H111" t="str">
        <v>HE</v>
      </c>
      <c r="I111">
        <v>10</v>
      </c>
      <c r="J111" t="b">
        <v>1</v>
      </c>
      <c r="L111" t="str">
        <f t="shared" si="11"/>
        <v>HE10</v>
      </c>
      <c r="M111" t="str">
        <f t="shared" si="7"/>
        <v>HE</v>
      </c>
      <c r="N111" s="32">
        <f t="shared" si="8"/>
        <v>10</v>
      </c>
      <c r="O111" t="str">
        <f t="shared" si="12"/>
        <v>Use at least 3 Epic Champions</v>
      </c>
    </row>
    <row r="112" spans="1:15" x14ac:dyDescent="0.3">
      <c r="A112" t="s">
        <v>262</v>
      </c>
      <c r="B112" t="str">
        <f t="shared" si="13"/>
        <v>DW</v>
      </c>
      <c r="C112">
        <f t="shared" si="9"/>
        <v>20</v>
      </c>
      <c r="D112" t="b">
        <f t="shared" si="10"/>
        <v>1</v>
      </c>
      <c r="G112" t="str">
        <v xml:space="preserve">Stage 11 Place 15+ Stun debuffs </v>
      </c>
      <c r="H112" t="str">
        <v>HE</v>
      </c>
      <c r="I112">
        <v>11</v>
      </c>
      <c r="J112" t="b">
        <v>1</v>
      </c>
      <c r="L112" t="str">
        <f t="shared" si="11"/>
        <v>HE11</v>
      </c>
      <c r="M112" t="str">
        <f t="shared" si="7"/>
        <v>HE</v>
      </c>
      <c r="N112" s="32">
        <f t="shared" si="8"/>
        <v>11</v>
      </c>
      <c r="O112" t="str">
        <f t="shared" si="12"/>
        <v>Place 15+ Stun debuffs</v>
      </c>
    </row>
    <row r="113" spans="1:15" x14ac:dyDescent="0.3">
      <c r="A113" t="s">
        <v>153</v>
      </c>
      <c r="B113" t="str">
        <f t="shared" si="13"/>
        <v>HE</v>
      </c>
      <c r="C113">
        <f t="shared" si="9"/>
        <v>0</v>
      </c>
      <c r="D113" t="str">
        <f t="shared" si="10"/>
        <v/>
      </c>
      <c r="G113" t="str">
        <v xml:space="preserve">Stage 12 Defeat all when they have no buffs on them </v>
      </c>
      <c r="H113" t="str">
        <v>HE</v>
      </c>
      <c r="I113">
        <v>12</v>
      </c>
      <c r="J113" t="b">
        <v>1</v>
      </c>
      <c r="L113" t="str">
        <f t="shared" si="11"/>
        <v>HE12</v>
      </c>
      <c r="M113" t="str">
        <f t="shared" si="7"/>
        <v>HE</v>
      </c>
      <c r="N113" s="32">
        <f t="shared" si="8"/>
        <v>12</v>
      </c>
      <c r="O113" t="str">
        <f t="shared" si="12"/>
        <v>Defeat all when they have no buffs on them</v>
      </c>
    </row>
    <row r="114" spans="1:15" x14ac:dyDescent="0.3">
      <c r="B114" t="str">
        <f t="shared" si="13"/>
        <v>HE</v>
      </c>
      <c r="C114">
        <f t="shared" si="9"/>
        <v>0</v>
      </c>
      <c r="D114" t="str">
        <f t="shared" si="10"/>
        <v/>
      </c>
      <c r="G114" t="str">
        <v xml:space="preserve">Stage 13 Reduce 9+ HP by 50% with one skill </v>
      </c>
      <c r="H114" t="str">
        <v>HE</v>
      </c>
      <c r="I114">
        <v>13</v>
      </c>
      <c r="J114" t="b">
        <v>1</v>
      </c>
      <c r="L114" t="str">
        <f t="shared" si="11"/>
        <v>HE13</v>
      </c>
      <c r="M114" t="str">
        <f t="shared" si="7"/>
        <v>HE</v>
      </c>
      <c r="N114" s="32">
        <f t="shared" si="8"/>
        <v>13</v>
      </c>
      <c r="O114" t="str">
        <f t="shared" si="12"/>
        <v>Reduce 9+ HP by 50% with one skill</v>
      </c>
    </row>
    <row r="115" spans="1:15" x14ac:dyDescent="0.3">
      <c r="A115" t="s">
        <v>202</v>
      </c>
      <c r="B115" t="str">
        <f t="shared" si="13"/>
        <v>HE</v>
      </c>
      <c r="C115">
        <f t="shared" si="9"/>
        <v>1</v>
      </c>
      <c r="D115" t="b">
        <f t="shared" si="10"/>
        <v>1</v>
      </c>
      <c r="G115" t="str">
        <v xml:space="preserve">Stage 14 Clear  in 150 turns </v>
      </c>
      <c r="H115" t="str">
        <v>HE</v>
      </c>
      <c r="I115">
        <v>14</v>
      </c>
      <c r="J115" t="b">
        <v>1</v>
      </c>
      <c r="L115" t="str">
        <f t="shared" si="11"/>
        <v>HE14</v>
      </c>
      <c r="M115" t="str">
        <f t="shared" si="7"/>
        <v>HE</v>
      </c>
      <c r="N115" s="32">
        <f t="shared" si="8"/>
        <v>14</v>
      </c>
      <c r="O115" t="str">
        <f t="shared" si="12"/>
        <v>Clear in 150 turns</v>
      </c>
    </row>
    <row r="116" spans="1:15" x14ac:dyDescent="0.3">
      <c r="A116" t="s">
        <v>175</v>
      </c>
      <c r="B116" t="str">
        <f t="shared" si="13"/>
        <v>HE</v>
      </c>
      <c r="C116">
        <f t="shared" si="9"/>
        <v>2</v>
      </c>
      <c r="D116" t="b">
        <f t="shared" si="10"/>
        <v>1</v>
      </c>
      <c r="G116" t="str">
        <v xml:space="preserve">Stage 15 Beat  with all Champions alive at all times </v>
      </c>
      <c r="H116" t="str">
        <v>HE</v>
      </c>
      <c r="I116">
        <v>15</v>
      </c>
      <c r="J116" t="b">
        <v>1</v>
      </c>
      <c r="L116" t="str">
        <f t="shared" si="11"/>
        <v>HE15</v>
      </c>
      <c r="M116" t="str">
        <f t="shared" si="7"/>
        <v>HE</v>
      </c>
      <c r="N116" s="32">
        <f t="shared" si="8"/>
        <v>15</v>
      </c>
      <c r="O116" t="str">
        <f t="shared" si="12"/>
        <v>Beat with all Champions alive at all times</v>
      </c>
    </row>
    <row r="117" spans="1:15" x14ac:dyDescent="0.3">
      <c r="A117" t="s">
        <v>165</v>
      </c>
      <c r="B117" t="str">
        <f t="shared" si="13"/>
        <v>HE</v>
      </c>
      <c r="C117">
        <f t="shared" si="9"/>
        <v>3</v>
      </c>
      <c r="D117" t="b">
        <f t="shared" si="10"/>
        <v>1</v>
      </c>
      <c r="G117" t="str">
        <v xml:space="preserve">Stage 16 Get an Extra Turn 5+ times </v>
      </c>
      <c r="H117" t="str">
        <v>HE</v>
      </c>
      <c r="I117">
        <v>16</v>
      </c>
      <c r="J117" t="b">
        <v>1</v>
      </c>
      <c r="L117" t="str">
        <f t="shared" si="11"/>
        <v>HE16</v>
      </c>
      <c r="M117" t="str">
        <f t="shared" si="7"/>
        <v>HE</v>
      </c>
      <c r="N117" s="32">
        <f t="shared" si="8"/>
        <v>16</v>
      </c>
      <c r="O117" t="str">
        <f t="shared" si="12"/>
        <v>Get an Extra Turn 5+ times</v>
      </c>
    </row>
    <row r="118" spans="1:15" x14ac:dyDescent="0.3">
      <c r="A118" t="s">
        <v>304</v>
      </c>
      <c r="B118" t="str">
        <f t="shared" si="13"/>
        <v>HE</v>
      </c>
      <c r="C118">
        <f t="shared" si="9"/>
        <v>4</v>
      </c>
      <c r="D118" t="b">
        <f t="shared" si="10"/>
        <v>1</v>
      </c>
      <c r="G118" t="str">
        <v xml:space="preserve">Stage 17 Dont land any weak hits </v>
      </c>
      <c r="H118" t="str">
        <v>HE</v>
      </c>
      <c r="I118">
        <v>17</v>
      </c>
      <c r="J118" t="b">
        <v>1</v>
      </c>
      <c r="L118" t="str">
        <f t="shared" si="11"/>
        <v>HE17</v>
      </c>
      <c r="M118" t="str">
        <f t="shared" si="7"/>
        <v>HE</v>
      </c>
      <c r="N118" s="32">
        <f t="shared" si="8"/>
        <v>17</v>
      </c>
      <c r="O118" t="str">
        <f t="shared" si="12"/>
        <v>Dont land any weak hits</v>
      </c>
    </row>
    <row r="119" spans="1:15" x14ac:dyDescent="0.3">
      <c r="A119" t="s">
        <v>189</v>
      </c>
      <c r="B119" t="str">
        <f t="shared" si="13"/>
        <v>HE</v>
      </c>
      <c r="C119">
        <f t="shared" si="9"/>
        <v>5</v>
      </c>
      <c r="D119" t="b">
        <f t="shared" si="10"/>
        <v>1</v>
      </c>
      <c r="G119" t="str">
        <v xml:space="preserve">Stage 18 Defeat 4+ before they take a turn </v>
      </c>
      <c r="H119" t="str">
        <v>HE</v>
      </c>
      <c r="I119">
        <v>18</v>
      </c>
      <c r="J119" t="b">
        <v>1</v>
      </c>
      <c r="L119" t="str">
        <f t="shared" si="11"/>
        <v>HE18</v>
      </c>
      <c r="M119" t="str">
        <f t="shared" si="7"/>
        <v>HE</v>
      </c>
      <c r="N119" s="32">
        <f t="shared" si="8"/>
        <v>18</v>
      </c>
      <c r="O119" t="str">
        <f t="shared" si="12"/>
        <v>Defeat 4+ before they take a turn</v>
      </c>
    </row>
    <row r="120" spans="1:15" x14ac:dyDescent="0.3">
      <c r="A120" t="s">
        <v>178</v>
      </c>
      <c r="B120" t="str">
        <f t="shared" si="13"/>
        <v>HE</v>
      </c>
      <c r="C120">
        <f t="shared" si="9"/>
        <v>6</v>
      </c>
      <c r="D120" t="b">
        <f t="shared" si="10"/>
        <v>1</v>
      </c>
      <c r="G120" t="str">
        <v xml:space="preserve">Stage 19 Defeat 3+ using Ally Attack skills or counterattacks </v>
      </c>
      <c r="H120" t="str">
        <v>HE</v>
      </c>
      <c r="I120">
        <v>19</v>
      </c>
      <c r="J120" t="b">
        <v>1</v>
      </c>
      <c r="L120" t="str">
        <f t="shared" si="11"/>
        <v>HE19</v>
      </c>
      <c r="M120" t="str">
        <f t="shared" si="7"/>
        <v>HE</v>
      </c>
      <c r="N120" s="32">
        <f t="shared" si="8"/>
        <v>19</v>
      </c>
      <c r="O120" t="str">
        <f t="shared" si="12"/>
        <v>Defeat 3+ using Ally Attack skills or counterattacks</v>
      </c>
    </row>
    <row r="121" spans="1:15" x14ac:dyDescent="0.3">
      <c r="A121" t="s">
        <v>167</v>
      </c>
      <c r="B121" t="str">
        <f t="shared" si="13"/>
        <v>HE</v>
      </c>
      <c r="C121">
        <f t="shared" si="9"/>
        <v>7</v>
      </c>
      <c r="D121" t="b">
        <f t="shared" si="10"/>
        <v>1</v>
      </c>
      <c r="G121" t="str">
        <v>Stage 20 Defeat 3+ while your Champions are under 7 or more buffs</v>
      </c>
      <c r="H121" t="str">
        <v>HE</v>
      </c>
      <c r="I121">
        <v>20</v>
      </c>
      <c r="J121" t="b">
        <v>1</v>
      </c>
      <c r="L121" t="str">
        <f t="shared" si="11"/>
        <v>HE20</v>
      </c>
      <c r="M121" t="str">
        <f t="shared" si="7"/>
        <v>HE</v>
      </c>
      <c r="N121" s="32">
        <f t="shared" si="8"/>
        <v>20</v>
      </c>
      <c r="O121" t="str">
        <f t="shared" si="12"/>
        <v>Defeat 3+ while your Champions are under 7 or more buffs</v>
      </c>
    </row>
    <row r="122" spans="1:15" x14ac:dyDescent="0.3">
      <c r="A122" t="s">
        <v>190</v>
      </c>
      <c r="B122" t="str">
        <f t="shared" si="13"/>
        <v>HE</v>
      </c>
      <c r="C122">
        <f t="shared" si="9"/>
        <v>8</v>
      </c>
      <c r="D122" t="b">
        <f t="shared" si="10"/>
        <v>1</v>
      </c>
      <c r="G122" t="str">
        <v xml:space="preserve">Stage 1 Place 20+ Poison debuffs </v>
      </c>
      <c r="H122" t="str">
        <v>KR</v>
      </c>
      <c r="I122">
        <v>1</v>
      </c>
      <c r="J122" t="b">
        <v>1</v>
      </c>
      <c r="L122" t="str">
        <f t="shared" si="11"/>
        <v>KR1</v>
      </c>
      <c r="M122" t="str">
        <f t="shared" si="7"/>
        <v>KR</v>
      </c>
      <c r="N122" s="32">
        <f t="shared" si="8"/>
        <v>1</v>
      </c>
      <c r="O122" t="str">
        <f t="shared" si="12"/>
        <v>Place 20+ Poison debuffs</v>
      </c>
    </row>
    <row r="123" spans="1:15" x14ac:dyDescent="0.3">
      <c r="A123" t="s">
        <v>179</v>
      </c>
      <c r="B123" t="str">
        <f t="shared" si="13"/>
        <v>HE</v>
      </c>
      <c r="C123">
        <f t="shared" si="9"/>
        <v>9</v>
      </c>
      <c r="D123" t="b">
        <f t="shared" si="10"/>
        <v>1</v>
      </c>
      <c r="G123" t="str">
        <v xml:space="preserve">Stage 2 Place 10+ Stun debuffs </v>
      </c>
      <c r="H123" t="str">
        <v>KR</v>
      </c>
      <c r="I123">
        <v>2</v>
      </c>
      <c r="J123" t="b">
        <v>1</v>
      </c>
      <c r="L123" t="str">
        <f t="shared" si="11"/>
        <v>KR2</v>
      </c>
      <c r="M123" t="str">
        <f t="shared" si="7"/>
        <v>KR</v>
      </c>
      <c r="N123" s="32">
        <f t="shared" si="8"/>
        <v>2</v>
      </c>
      <c r="O123" t="str">
        <f t="shared" si="12"/>
        <v>Place 10+ Stun debuffs</v>
      </c>
    </row>
    <row r="124" spans="1:15" x14ac:dyDescent="0.3">
      <c r="A124" t="s">
        <v>169</v>
      </c>
      <c r="B124" t="str">
        <f t="shared" si="13"/>
        <v>HE</v>
      </c>
      <c r="C124">
        <f t="shared" si="9"/>
        <v>10</v>
      </c>
      <c r="D124" t="b">
        <f t="shared" si="10"/>
        <v>1</v>
      </c>
      <c r="G124" t="str">
        <v xml:space="preserve">Stage 3 Place 10+ Provoke debuffs </v>
      </c>
      <c r="H124" t="str">
        <v>KR</v>
      </c>
      <c r="I124">
        <v>3</v>
      </c>
      <c r="J124" t="b">
        <v>1</v>
      </c>
      <c r="L124" t="str">
        <f t="shared" si="11"/>
        <v>KR3</v>
      </c>
      <c r="M124" t="str">
        <f t="shared" si="7"/>
        <v>KR</v>
      </c>
      <c r="N124" s="32">
        <f t="shared" si="8"/>
        <v>3</v>
      </c>
      <c r="O124" t="str">
        <f t="shared" si="12"/>
        <v>Place 10+ Provoke debuffs</v>
      </c>
    </row>
    <row r="125" spans="1:15" x14ac:dyDescent="0.3">
      <c r="A125" t="s">
        <v>214</v>
      </c>
      <c r="B125" t="str">
        <f t="shared" si="13"/>
        <v>HE</v>
      </c>
      <c r="C125">
        <f t="shared" si="9"/>
        <v>11</v>
      </c>
      <c r="D125" t="b">
        <f t="shared" si="10"/>
        <v>1</v>
      </c>
      <c r="G125" t="str">
        <v xml:space="preserve">Stage 4 Manipulate skill cooldowns 10+ times </v>
      </c>
      <c r="H125" t="str">
        <v>KR</v>
      </c>
      <c r="I125">
        <v>4</v>
      </c>
      <c r="J125" t="b">
        <v>1</v>
      </c>
      <c r="L125" t="str">
        <f t="shared" si="11"/>
        <v>KR4</v>
      </c>
      <c r="M125" t="str">
        <f t="shared" si="7"/>
        <v>KR</v>
      </c>
      <c r="N125" s="32">
        <f t="shared" si="8"/>
        <v>4</v>
      </c>
      <c r="O125" t="str">
        <f t="shared" si="12"/>
        <v>Manipulate skill cooldowns 10+ times</v>
      </c>
    </row>
    <row r="126" spans="1:15" x14ac:dyDescent="0.3">
      <c r="A126" t="s">
        <v>302</v>
      </c>
      <c r="B126" t="str">
        <f t="shared" si="13"/>
        <v>HE</v>
      </c>
      <c r="C126">
        <f t="shared" si="9"/>
        <v>12</v>
      </c>
      <c r="D126" t="b">
        <f t="shared" si="10"/>
        <v>1</v>
      </c>
      <c r="G126" t="str">
        <v xml:space="preserve">Stage 5 Defeat 6+ while theyre under Hex debuffs </v>
      </c>
      <c r="H126" t="str">
        <v>KR</v>
      </c>
      <c r="I126">
        <v>5</v>
      </c>
      <c r="J126" t="b">
        <v>1</v>
      </c>
      <c r="L126" t="str">
        <f t="shared" si="11"/>
        <v>KR5</v>
      </c>
      <c r="M126" t="str">
        <f t="shared" si="7"/>
        <v>KR</v>
      </c>
      <c r="N126" s="32">
        <f t="shared" si="8"/>
        <v>5</v>
      </c>
      <c r="O126" t="str">
        <f t="shared" si="12"/>
        <v>Defeat 6+ while theyre under Hex debuffs</v>
      </c>
    </row>
    <row r="127" spans="1:15" x14ac:dyDescent="0.3">
      <c r="A127" t="s">
        <v>305</v>
      </c>
      <c r="B127" t="str">
        <f t="shared" si="13"/>
        <v>HE</v>
      </c>
      <c r="C127">
        <f t="shared" si="9"/>
        <v>13</v>
      </c>
      <c r="D127" t="b">
        <f t="shared" si="10"/>
        <v>1</v>
      </c>
      <c r="G127" t="str">
        <v xml:space="preserve">Stage 6 Manipulate Turn Meters 40+ times </v>
      </c>
      <c r="H127" t="str">
        <v>KR</v>
      </c>
      <c r="I127">
        <v>6</v>
      </c>
      <c r="J127" t="b">
        <v>1</v>
      </c>
      <c r="L127" t="str">
        <f t="shared" si="11"/>
        <v>KR6</v>
      </c>
      <c r="M127" t="str">
        <f t="shared" si="7"/>
        <v>KR</v>
      </c>
      <c r="N127" s="32">
        <f t="shared" si="8"/>
        <v>6</v>
      </c>
      <c r="O127" t="str">
        <f t="shared" si="12"/>
        <v>Manipulate Turn Meters 40+ times</v>
      </c>
    </row>
    <row r="128" spans="1:15" x14ac:dyDescent="0.3">
      <c r="A128" t="s">
        <v>195</v>
      </c>
      <c r="B128" t="str">
        <f t="shared" si="13"/>
        <v>HE</v>
      </c>
      <c r="C128">
        <f t="shared" si="9"/>
        <v>14</v>
      </c>
      <c r="D128" t="b">
        <f t="shared" si="10"/>
        <v>1</v>
      </c>
      <c r="G128" t="str">
        <v xml:space="preserve">Stage 7 Clear  in 100 turns </v>
      </c>
      <c r="H128" t="str">
        <v>KR</v>
      </c>
      <c r="I128">
        <v>7</v>
      </c>
      <c r="J128" t="b">
        <v>1</v>
      </c>
      <c r="L128" t="str">
        <f t="shared" si="11"/>
        <v>KR7</v>
      </c>
      <c r="M128" t="str">
        <f t="shared" si="7"/>
        <v>KR</v>
      </c>
      <c r="N128" s="32">
        <f t="shared" si="8"/>
        <v>7</v>
      </c>
      <c r="O128" t="str">
        <f t="shared" si="12"/>
        <v>Clear in 100 turns</v>
      </c>
    </row>
    <row r="129" spans="1:15" x14ac:dyDescent="0.3">
      <c r="A129" t="s">
        <v>172</v>
      </c>
      <c r="B129" t="str">
        <f t="shared" si="13"/>
        <v>HE</v>
      </c>
      <c r="C129">
        <f t="shared" si="9"/>
        <v>15</v>
      </c>
      <c r="D129" t="b">
        <f t="shared" si="10"/>
        <v>1</v>
      </c>
      <c r="G129" t="str">
        <v xml:space="preserve">Stage 8 Place 15+ Provoke debuffs </v>
      </c>
      <c r="H129" t="str">
        <v>KR</v>
      </c>
      <c r="I129">
        <v>8</v>
      </c>
      <c r="J129" t="b">
        <v>1</v>
      </c>
      <c r="L129" t="str">
        <f t="shared" si="11"/>
        <v>KR8</v>
      </c>
      <c r="M129" t="str">
        <f t="shared" si="7"/>
        <v>KR</v>
      </c>
      <c r="N129" s="32">
        <f t="shared" si="8"/>
        <v>8</v>
      </c>
      <c r="O129" t="str">
        <f t="shared" si="12"/>
        <v>Place 15+ Provoke debuffs</v>
      </c>
    </row>
    <row r="130" spans="1:15" x14ac:dyDescent="0.3">
      <c r="A130" t="s">
        <v>196</v>
      </c>
      <c r="B130" t="str">
        <f t="shared" si="13"/>
        <v>HE</v>
      </c>
      <c r="C130">
        <f t="shared" si="9"/>
        <v>16</v>
      </c>
      <c r="D130" t="b">
        <f t="shared" si="10"/>
        <v>1</v>
      </c>
      <c r="G130" t="str">
        <v>Stage 9 Manipulate skill cooldowns 15+ times</v>
      </c>
      <c r="H130" t="str">
        <v>KR</v>
      </c>
      <c r="I130">
        <v>9</v>
      </c>
      <c r="J130" t="b">
        <v>1</v>
      </c>
      <c r="L130" t="str">
        <f t="shared" si="11"/>
        <v>KR9</v>
      </c>
      <c r="M130" t="str">
        <f t="shared" ref="M130:M193" si="14">H130</f>
        <v>KR</v>
      </c>
      <c r="N130" s="32">
        <f t="shared" ref="N130:N193" si="15">I130</f>
        <v>9</v>
      </c>
      <c r="O130" t="str">
        <f t="shared" si="12"/>
        <v>Manipulate skill cooldowns 15+ times</v>
      </c>
    </row>
    <row r="131" spans="1:15" x14ac:dyDescent="0.3">
      <c r="A131" t="s">
        <v>261</v>
      </c>
      <c r="B131" t="str">
        <f t="shared" si="13"/>
        <v>HE</v>
      </c>
      <c r="C131">
        <f t="shared" ref="C131:C195" si="16">IF(LEFT(A131,4)="Stag",INT(TRIM(MID(A131,7,2))), 0)</f>
        <v>17</v>
      </c>
      <c r="D131" t="b">
        <f t="shared" ref="D131:D195" si="17">IF(C131&lt;&gt;0, INT(C131)=C130+1, "")</f>
        <v>1</v>
      </c>
      <c r="G131" t="str">
        <v xml:space="preserve">Stage 10  Use at least 3 Epic Champions </v>
      </c>
      <c r="H131" t="str">
        <v>KR</v>
      </c>
      <c r="I131">
        <v>10</v>
      </c>
      <c r="J131" t="b">
        <v>1</v>
      </c>
      <c r="L131" t="str">
        <f t="shared" ref="L131:L194" si="18">M131&amp;N131</f>
        <v>KR10</v>
      </c>
      <c r="M131" t="str">
        <f t="shared" si="14"/>
        <v>KR</v>
      </c>
      <c r="N131" s="32">
        <f t="shared" si="15"/>
        <v>10</v>
      </c>
      <c r="O131" t="str">
        <f t="shared" ref="O131:O194" si="19">TRIM(_xlfn.LET( _xlpm.x, FIND(" ", G131, 7),_xlpm.y,ISNUMBER(_xlpm.x), IF(_xlpm.y, MID(G131,_xlpm.x+1,99),"")))</f>
        <v>Use at least 3 Epic Champions</v>
      </c>
    </row>
    <row r="132" spans="1:15" x14ac:dyDescent="0.3">
      <c r="A132" t="s">
        <v>293</v>
      </c>
      <c r="B132" t="str">
        <f t="shared" ref="B132:B196" si="20">IF(LEFT(A132,5)="file=",MID(A132,7,2),B131)</f>
        <v>HE</v>
      </c>
      <c r="C132">
        <f t="shared" si="16"/>
        <v>18</v>
      </c>
      <c r="D132" t="b">
        <f t="shared" si="17"/>
        <v>1</v>
      </c>
      <c r="G132" t="str">
        <v xml:space="preserve">Stage 11 Defeat all when they have no buffs on them </v>
      </c>
      <c r="H132" t="str">
        <v>KR</v>
      </c>
      <c r="I132">
        <v>11</v>
      </c>
      <c r="J132" t="b">
        <v>1</v>
      </c>
      <c r="L132" t="str">
        <f t="shared" si="18"/>
        <v>KR11</v>
      </c>
      <c r="M132" t="str">
        <f t="shared" si="14"/>
        <v>KR</v>
      </c>
      <c r="N132" s="32">
        <f t="shared" si="15"/>
        <v>11</v>
      </c>
      <c r="O132" t="str">
        <f t="shared" si="19"/>
        <v>Defeat all when they have no buffs on them</v>
      </c>
    </row>
    <row r="133" spans="1:15" x14ac:dyDescent="0.3">
      <c r="A133" t="s">
        <v>306</v>
      </c>
      <c r="B133" t="str">
        <f t="shared" si="20"/>
        <v>HE</v>
      </c>
      <c r="C133">
        <f t="shared" si="16"/>
        <v>19</v>
      </c>
      <c r="D133" t="b">
        <f t="shared" si="17"/>
        <v>1</v>
      </c>
      <c r="G133" t="str">
        <v xml:space="preserve">Stage 12 Place 15+ Stun debuffs </v>
      </c>
      <c r="H133" t="str">
        <v>KR</v>
      </c>
      <c r="I133">
        <v>12</v>
      </c>
      <c r="J133" t="b">
        <v>1</v>
      </c>
      <c r="L133" t="str">
        <f t="shared" si="18"/>
        <v>KR12</v>
      </c>
      <c r="M133" t="str">
        <f t="shared" si="14"/>
        <v>KR</v>
      </c>
      <c r="N133" s="32">
        <f t="shared" si="15"/>
        <v>12</v>
      </c>
      <c r="O133" t="str">
        <f t="shared" si="19"/>
        <v>Place 15+ Stun debuffs</v>
      </c>
    </row>
    <row r="134" spans="1:15" x14ac:dyDescent="0.3">
      <c r="A134" t="s">
        <v>307</v>
      </c>
      <c r="B134" t="str">
        <f t="shared" si="20"/>
        <v>HE</v>
      </c>
      <c r="C134">
        <f t="shared" si="16"/>
        <v>20</v>
      </c>
      <c r="D134" t="b">
        <f t="shared" si="17"/>
        <v>1</v>
      </c>
      <c r="G134" t="str">
        <v xml:space="preserve">Stage 13 Manipulate buff or debuff duration 30+ times </v>
      </c>
      <c r="H134" t="str">
        <v>KR</v>
      </c>
      <c r="I134">
        <v>13</v>
      </c>
      <c r="J134" t="b">
        <v>1</v>
      </c>
      <c r="L134" t="str">
        <f t="shared" si="18"/>
        <v>KR13</v>
      </c>
      <c r="M134" t="str">
        <f t="shared" si="14"/>
        <v>KR</v>
      </c>
      <c r="N134" s="32">
        <f t="shared" si="15"/>
        <v>13</v>
      </c>
      <c r="O134" t="str">
        <f t="shared" si="19"/>
        <v>Manipulate buff or debuff duration 30+ times</v>
      </c>
    </row>
    <row r="135" spans="1:15" x14ac:dyDescent="0.3">
      <c r="A135" t="s">
        <v>154</v>
      </c>
      <c r="B135" t="str">
        <f t="shared" si="20"/>
        <v>KR</v>
      </c>
      <c r="C135">
        <f t="shared" si="16"/>
        <v>0</v>
      </c>
      <c r="D135" t="str">
        <f t="shared" si="17"/>
        <v/>
      </c>
      <c r="G135" t="str">
        <v xml:space="preserve">Stage 14 Clear  in 150 turns </v>
      </c>
      <c r="H135" t="str">
        <v>KR</v>
      </c>
      <c r="I135">
        <v>14</v>
      </c>
      <c r="J135" t="b">
        <v>1</v>
      </c>
      <c r="L135" t="str">
        <f t="shared" si="18"/>
        <v>KR14</v>
      </c>
      <c r="M135" t="str">
        <f t="shared" si="14"/>
        <v>KR</v>
      </c>
      <c r="N135" s="32">
        <f t="shared" si="15"/>
        <v>14</v>
      </c>
      <c r="O135" t="str">
        <f t="shared" si="19"/>
        <v>Clear in 150 turns</v>
      </c>
    </row>
    <row r="136" spans="1:15" x14ac:dyDescent="0.3">
      <c r="B136" t="str">
        <f t="shared" si="20"/>
        <v>KR</v>
      </c>
      <c r="C136">
        <f t="shared" si="16"/>
        <v>0</v>
      </c>
      <c r="D136" t="str">
        <f t="shared" si="17"/>
        <v/>
      </c>
      <c r="G136" t="str">
        <v xml:space="preserve">Stage 15 Beat  with all Champions alive at all times </v>
      </c>
      <c r="H136" t="str">
        <v>KR</v>
      </c>
      <c r="I136">
        <v>15</v>
      </c>
      <c r="J136" t="b">
        <v>1</v>
      </c>
      <c r="L136" t="str">
        <f t="shared" si="18"/>
        <v>KR15</v>
      </c>
      <c r="M136" t="str">
        <f t="shared" si="14"/>
        <v>KR</v>
      </c>
      <c r="N136" s="32">
        <f t="shared" si="15"/>
        <v>15</v>
      </c>
      <c r="O136" t="str">
        <f t="shared" si="19"/>
        <v>Beat with all Champions alive at all times</v>
      </c>
    </row>
    <row r="137" spans="1:15" x14ac:dyDescent="0.3">
      <c r="A137" t="s">
        <v>174</v>
      </c>
      <c r="B137" t="str">
        <f t="shared" si="20"/>
        <v>KR</v>
      </c>
      <c r="C137">
        <f t="shared" si="16"/>
        <v>1</v>
      </c>
      <c r="D137" t="b">
        <f t="shared" si="17"/>
        <v>1</v>
      </c>
      <c r="G137" t="str">
        <v xml:space="preserve">Stage 16 Defeat 10+ while they are under Fear/True Fear debuffs </v>
      </c>
      <c r="H137" t="str">
        <v>KR</v>
      </c>
      <c r="I137">
        <v>16</v>
      </c>
      <c r="J137" t="b">
        <v>1</v>
      </c>
      <c r="L137" t="str">
        <f t="shared" si="18"/>
        <v>KR16</v>
      </c>
      <c r="M137" t="str">
        <f t="shared" si="14"/>
        <v>KR</v>
      </c>
      <c r="N137" s="32">
        <f t="shared" si="15"/>
        <v>16</v>
      </c>
      <c r="O137" t="str">
        <f t="shared" si="19"/>
        <v>Defeat 10+ while they are under Fear/True Fear debuffs</v>
      </c>
    </row>
    <row r="138" spans="1:15" x14ac:dyDescent="0.3">
      <c r="A138" t="s">
        <v>197</v>
      </c>
      <c r="B138" t="str">
        <f t="shared" si="20"/>
        <v>KR</v>
      </c>
      <c r="C138">
        <f t="shared" si="16"/>
        <v>2</v>
      </c>
      <c r="D138" t="b">
        <f t="shared" si="17"/>
        <v>1</v>
      </c>
      <c r="G138" t="str">
        <v xml:space="preserve">Stage 17 Dont land any weak hits </v>
      </c>
      <c r="H138" t="str">
        <v>KR</v>
      </c>
      <c r="I138">
        <v>17</v>
      </c>
      <c r="J138" t="b">
        <v>1</v>
      </c>
      <c r="L138" t="str">
        <f t="shared" si="18"/>
        <v>KR17</v>
      </c>
      <c r="M138" t="str">
        <f t="shared" si="14"/>
        <v>KR</v>
      </c>
      <c r="N138" s="32">
        <f t="shared" si="15"/>
        <v>17</v>
      </c>
      <c r="O138" t="str">
        <f t="shared" si="19"/>
        <v>Dont land any weak hits</v>
      </c>
    </row>
    <row r="139" spans="1:15" x14ac:dyDescent="0.3">
      <c r="A139" t="s">
        <v>176</v>
      </c>
      <c r="B139" t="str">
        <f t="shared" si="20"/>
        <v>KR</v>
      </c>
      <c r="C139">
        <f t="shared" si="16"/>
        <v>3</v>
      </c>
      <c r="D139" t="b">
        <f t="shared" si="17"/>
        <v>1</v>
      </c>
      <c r="G139" t="str">
        <v xml:space="preserve">Stage 18 Defeat 3+ while theyre under 10 debuffs </v>
      </c>
      <c r="H139" t="str">
        <v>KR</v>
      </c>
      <c r="I139">
        <v>18</v>
      </c>
      <c r="J139" t="b">
        <v>1</v>
      </c>
      <c r="L139" t="str">
        <f t="shared" si="18"/>
        <v>KR18</v>
      </c>
      <c r="M139" t="str">
        <f t="shared" si="14"/>
        <v>KR</v>
      </c>
      <c r="N139" s="32">
        <f t="shared" si="15"/>
        <v>18</v>
      </c>
      <c r="O139" t="str">
        <f t="shared" si="19"/>
        <v>Defeat 3+ while theyre under 10 debuffs</v>
      </c>
    </row>
    <row r="140" spans="1:15" x14ac:dyDescent="0.3">
      <c r="A140" t="s">
        <v>215</v>
      </c>
      <c r="B140" t="str">
        <f t="shared" si="20"/>
        <v>KR</v>
      </c>
      <c r="C140">
        <f t="shared" si="16"/>
        <v>4</v>
      </c>
      <c r="D140" t="b">
        <f t="shared" si="17"/>
        <v>1</v>
      </c>
      <c r="G140" t="str">
        <v xml:space="preserve">Stage 19 Get an Extra Turn 5+ times </v>
      </c>
      <c r="H140" t="str">
        <v>KR</v>
      </c>
      <c r="I140">
        <v>19</v>
      </c>
      <c r="J140" t="b">
        <v>1</v>
      </c>
      <c r="L140" t="str">
        <f t="shared" si="18"/>
        <v>KR19</v>
      </c>
      <c r="M140" t="str">
        <f t="shared" si="14"/>
        <v>KR</v>
      </c>
      <c r="N140" s="32">
        <f t="shared" si="15"/>
        <v>19</v>
      </c>
      <c r="O140" t="str">
        <f t="shared" si="19"/>
        <v>Get an Extra Turn 5+ times</v>
      </c>
    </row>
    <row r="141" spans="1:15" x14ac:dyDescent="0.3">
      <c r="A141" t="s">
        <v>294</v>
      </c>
      <c r="B141" t="str">
        <f t="shared" si="20"/>
        <v>KR</v>
      </c>
      <c r="C141">
        <f t="shared" si="16"/>
        <v>5</v>
      </c>
      <c r="D141" t="b">
        <f t="shared" si="17"/>
        <v>1</v>
      </c>
      <c r="G141" t="str">
        <v>Stage 20 Defeat 4+ before they take a turn</v>
      </c>
      <c r="H141" t="str">
        <v>KR</v>
      </c>
      <c r="I141">
        <v>20</v>
      </c>
      <c r="J141" t="b">
        <v>1</v>
      </c>
      <c r="L141" t="str">
        <f t="shared" si="18"/>
        <v>KR20</v>
      </c>
      <c r="M141" t="str">
        <f t="shared" si="14"/>
        <v>KR</v>
      </c>
      <c r="N141" s="32">
        <f t="shared" si="15"/>
        <v>20</v>
      </c>
      <c r="O141" t="str">
        <f t="shared" si="19"/>
        <v>Defeat 4+ before they take a turn</v>
      </c>
    </row>
    <row r="142" spans="1:15" x14ac:dyDescent="0.3">
      <c r="A142" t="s">
        <v>178</v>
      </c>
      <c r="B142" t="str">
        <f t="shared" si="20"/>
        <v>KR</v>
      </c>
      <c r="C142">
        <f t="shared" si="16"/>
        <v>6</v>
      </c>
      <c r="D142" t="b">
        <f t="shared" si="17"/>
        <v>1</v>
      </c>
      <c r="G142" t="str">
        <v xml:space="preserve">Stage 1 Heal your Champions HP by 500000+ </v>
      </c>
      <c r="H142" t="str">
        <v>LZ</v>
      </c>
      <c r="I142">
        <v>1</v>
      </c>
      <c r="J142" t="b">
        <v>1</v>
      </c>
      <c r="L142" t="str">
        <f t="shared" si="18"/>
        <v>LZ1</v>
      </c>
      <c r="M142" t="str">
        <f t="shared" si="14"/>
        <v>LZ</v>
      </c>
      <c r="N142" s="32">
        <f t="shared" si="15"/>
        <v>1</v>
      </c>
      <c r="O142" t="str">
        <f t="shared" si="19"/>
        <v>Heal your Champions HP by 500000+</v>
      </c>
    </row>
    <row r="143" spans="1:15" x14ac:dyDescent="0.3">
      <c r="A143" t="s">
        <v>167</v>
      </c>
      <c r="B143" t="str">
        <f t="shared" si="20"/>
        <v>KR</v>
      </c>
      <c r="C143">
        <f t="shared" si="16"/>
        <v>7</v>
      </c>
      <c r="D143" t="b">
        <f t="shared" si="17"/>
        <v>1</v>
      </c>
      <c r="G143" t="str">
        <v xml:space="preserve">Stage 2 Place 10+ Stun debuffs </v>
      </c>
      <c r="H143" t="str">
        <v>LZ</v>
      </c>
      <c r="I143">
        <v>2</v>
      </c>
      <c r="J143" t="b">
        <v>1</v>
      </c>
      <c r="L143" t="str">
        <f t="shared" si="18"/>
        <v>LZ2</v>
      </c>
      <c r="M143" t="str">
        <f t="shared" si="14"/>
        <v>LZ</v>
      </c>
      <c r="N143" s="32">
        <f t="shared" si="15"/>
        <v>2</v>
      </c>
      <c r="O143" t="str">
        <f t="shared" si="19"/>
        <v>Place 10+ Stun debuffs</v>
      </c>
    </row>
    <row r="144" spans="1:15" x14ac:dyDescent="0.3">
      <c r="A144" t="s">
        <v>193</v>
      </c>
      <c r="B144" t="str">
        <f t="shared" si="20"/>
        <v>KR</v>
      </c>
      <c r="C144">
        <f t="shared" si="16"/>
        <v>8</v>
      </c>
      <c r="D144" t="b">
        <f t="shared" si="17"/>
        <v>1</v>
      </c>
      <c r="G144" t="str">
        <v xml:space="preserve">Stage 3 Place 20+ Poison debuffs </v>
      </c>
      <c r="H144" t="str">
        <v>LZ</v>
      </c>
      <c r="I144">
        <v>3</v>
      </c>
      <c r="J144" t="b">
        <v>1</v>
      </c>
      <c r="L144" t="str">
        <f t="shared" si="18"/>
        <v>LZ3</v>
      </c>
      <c r="M144" t="str">
        <f t="shared" si="14"/>
        <v>LZ</v>
      </c>
      <c r="N144" s="32">
        <f t="shared" si="15"/>
        <v>3</v>
      </c>
      <c r="O144" t="str">
        <f t="shared" si="19"/>
        <v>Place 20+ Poison debuffs</v>
      </c>
    </row>
    <row r="145" spans="1:15" x14ac:dyDescent="0.3">
      <c r="A145" t="s">
        <v>276</v>
      </c>
      <c r="B145" t="str">
        <f t="shared" si="20"/>
        <v>KR</v>
      </c>
      <c r="C145">
        <f t="shared" si="16"/>
        <v>9</v>
      </c>
      <c r="D145" t="b">
        <f t="shared" si="17"/>
        <v>1</v>
      </c>
      <c r="G145" t="str">
        <v xml:space="preserve">Stage 4 Place 10+ Provoke debuffs </v>
      </c>
      <c r="H145" t="str">
        <v>LZ</v>
      </c>
      <c r="I145">
        <v>4</v>
      </c>
      <c r="J145" t="b">
        <v>1</v>
      </c>
      <c r="L145" t="str">
        <f t="shared" si="18"/>
        <v>LZ4</v>
      </c>
      <c r="M145" t="str">
        <f t="shared" si="14"/>
        <v>LZ</v>
      </c>
      <c r="N145" s="32">
        <f t="shared" si="15"/>
        <v>4</v>
      </c>
      <c r="O145" t="str">
        <f t="shared" si="19"/>
        <v>Place 10+ Provoke debuffs</v>
      </c>
    </row>
    <row r="146" spans="1:15" x14ac:dyDescent="0.3">
      <c r="A146" t="s">
        <v>223</v>
      </c>
      <c r="B146" t="str">
        <f t="shared" ref="B146" si="21">IF(LEFT(A146,5)="file=",MID(A146,7,2),B145)</f>
        <v>KR</v>
      </c>
      <c r="C146">
        <f t="shared" ref="C146" si="22">IF(LEFT(A146,4)="Stag",INT(TRIM(MID(A146,7,2))), 0)</f>
        <v>10</v>
      </c>
      <c r="D146" t="b">
        <f t="shared" si="17"/>
        <v>1</v>
      </c>
      <c r="G146" t="str">
        <v xml:space="preserve">Stage 5 Reduce 6+ HP by 50% with one skill </v>
      </c>
      <c r="H146" t="str">
        <v>LZ</v>
      </c>
      <c r="I146">
        <v>5</v>
      </c>
      <c r="J146" t="b">
        <v>1</v>
      </c>
      <c r="L146" t="str">
        <f t="shared" si="18"/>
        <v>LZ5</v>
      </c>
      <c r="M146" t="str">
        <f t="shared" si="14"/>
        <v>LZ</v>
      </c>
      <c r="N146" s="32">
        <f t="shared" si="15"/>
        <v>5</v>
      </c>
      <c r="O146" t="str">
        <f t="shared" si="19"/>
        <v>Reduce 6+ HP by 50% with one skill</v>
      </c>
    </row>
    <row r="147" spans="1:15" x14ac:dyDescent="0.3">
      <c r="A147" t="s">
        <v>291</v>
      </c>
      <c r="B147" t="str">
        <f>IF(LEFT(A147,5)="file=",MID(A147,7,2),B145)</f>
        <v>KR</v>
      </c>
      <c r="C147">
        <f t="shared" si="16"/>
        <v>11</v>
      </c>
      <c r="D147" t="b">
        <f t="shared" si="17"/>
        <v>1</v>
      </c>
      <c r="G147" t="str">
        <v xml:space="preserve">Stage 6 Manipulate Turn Meters 40+ times </v>
      </c>
      <c r="H147" t="str">
        <v>LZ</v>
      </c>
      <c r="I147">
        <v>6</v>
      </c>
      <c r="J147" t="b">
        <v>1</v>
      </c>
      <c r="L147" t="str">
        <f t="shared" si="18"/>
        <v>LZ6</v>
      </c>
      <c r="M147" t="str">
        <f t="shared" si="14"/>
        <v>LZ</v>
      </c>
      <c r="N147" s="32">
        <f t="shared" si="15"/>
        <v>6</v>
      </c>
      <c r="O147" t="str">
        <f t="shared" si="19"/>
        <v>Manipulate Turn Meters 40+ times</v>
      </c>
    </row>
    <row r="148" spans="1:15" x14ac:dyDescent="0.3">
      <c r="A148" t="s">
        <v>170</v>
      </c>
      <c r="B148" t="str">
        <f t="shared" si="20"/>
        <v>KR</v>
      </c>
      <c r="C148">
        <f t="shared" si="16"/>
        <v>12</v>
      </c>
      <c r="D148" t="b">
        <f t="shared" si="17"/>
        <v>1</v>
      </c>
      <c r="G148" t="str">
        <v xml:space="preserve">Stage 7 Clear  in 100 turns </v>
      </c>
      <c r="H148" t="str">
        <v>LZ</v>
      </c>
      <c r="I148">
        <v>7</v>
      </c>
      <c r="J148" t="b">
        <v>1</v>
      </c>
      <c r="L148" t="str">
        <f t="shared" si="18"/>
        <v>LZ7</v>
      </c>
      <c r="M148" t="str">
        <f t="shared" si="14"/>
        <v>LZ</v>
      </c>
      <c r="N148" s="32">
        <f t="shared" si="15"/>
        <v>7</v>
      </c>
      <c r="O148" t="str">
        <f t="shared" si="19"/>
        <v>Clear in 100 turns</v>
      </c>
    </row>
    <row r="149" spans="1:15" x14ac:dyDescent="0.3">
      <c r="A149" t="s">
        <v>216</v>
      </c>
      <c r="B149" t="str">
        <f t="shared" si="20"/>
        <v>KR</v>
      </c>
      <c r="C149">
        <f t="shared" si="16"/>
        <v>13</v>
      </c>
      <c r="D149" t="b">
        <f t="shared" si="17"/>
        <v>1</v>
      </c>
      <c r="G149" t="str">
        <v xml:space="preserve">Stage 8 Heal your Champions HP by 1000000+ </v>
      </c>
      <c r="H149" t="str">
        <v>LZ</v>
      </c>
      <c r="I149">
        <v>8</v>
      </c>
      <c r="J149" t="b">
        <v>1</v>
      </c>
      <c r="L149" t="str">
        <f t="shared" si="18"/>
        <v>LZ8</v>
      </c>
      <c r="M149" t="str">
        <f t="shared" si="14"/>
        <v>LZ</v>
      </c>
      <c r="N149" s="32">
        <f t="shared" si="15"/>
        <v>8</v>
      </c>
      <c r="O149" t="str">
        <f t="shared" si="19"/>
        <v>Heal your Champions HP by 1000000+</v>
      </c>
    </row>
    <row r="150" spans="1:15" x14ac:dyDescent="0.3">
      <c r="A150" t="s">
        <v>195</v>
      </c>
      <c r="B150" t="str">
        <f t="shared" si="20"/>
        <v>KR</v>
      </c>
      <c r="C150">
        <f t="shared" si="16"/>
        <v>14</v>
      </c>
      <c r="D150" t="b">
        <f t="shared" si="17"/>
        <v>1</v>
      </c>
      <c r="G150" t="str">
        <v xml:space="preserve">Stage 9 Place 15+ Stun debuffs </v>
      </c>
      <c r="H150" t="str">
        <v>LZ</v>
      </c>
      <c r="I150">
        <v>9</v>
      </c>
      <c r="J150" t="b">
        <v>1</v>
      </c>
      <c r="L150" t="str">
        <f t="shared" si="18"/>
        <v>LZ9</v>
      </c>
      <c r="M150" t="str">
        <f t="shared" si="14"/>
        <v>LZ</v>
      </c>
      <c r="N150" s="32">
        <f t="shared" si="15"/>
        <v>9</v>
      </c>
      <c r="O150" t="str">
        <f t="shared" si="19"/>
        <v>Place 15+ Stun debuffs</v>
      </c>
    </row>
    <row r="151" spans="1:15" x14ac:dyDescent="0.3">
      <c r="A151" t="s">
        <v>172</v>
      </c>
      <c r="B151" t="str">
        <f t="shared" si="20"/>
        <v>KR</v>
      </c>
      <c r="C151">
        <f t="shared" si="16"/>
        <v>15</v>
      </c>
      <c r="D151" t="b">
        <f t="shared" si="17"/>
        <v>1</v>
      </c>
      <c r="G151" t="str">
        <v xml:space="preserve">Stage 10 Use at least 3 Epic Champions </v>
      </c>
      <c r="H151" t="str">
        <v>LZ</v>
      </c>
      <c r="I151">
        <v>10</v>
      </c>
      <c r="J151" t="b">
        <v>1</v>
      </c>
      <c r="L151" t="str">
        <f t="shared" si="18"/>
        <v>LZ10</v>
      </c>
      <c r="M151" t="str">
        <f t="shared" si="14"/>
        <v>LZ</v>
      </c>
      <c r="N151" s="32">
        <f t="shared" si="15"/>
        <v>10</v>
      </c>
      <c r="O151" t="str">
        <f t="shared" si="19"/>
        <v>Use at least 3 Epic Champions</v>
      </c>
    </row>
    <row r="152" spans="1:15" x14ac:dyDescent="0.3">
      <c r="A152" t="s">
        <v>308</v>
      </c>
      <c r="B152" t="str">
        <f t="shared" si="20"/>
        <v>KR</v>
      </c>
      <c r="C152">
        <f t="shared" si="16"/>
        <v>16</v>
      </c>
      <c r="D152" t="b">
        <f t="shared" si="17"/>
        <v>1</v>
      </c>
      <c r="G152" t="str">
        <v xml:space="preserve">Stage 11 Place 15+ Provoke debuffs </v>
      </c>
      <c r="H152" t="str">
        <v>LZ</v>
      </c>
      <c r="I152">
        <v>11</v>
      </c>
      <c r="J152" t="b">
        <v>1</v>
      </c>
      <c r="L152" t="str">
        <f t="shared" si="18"/>
        <v>LZ11</v>
      </c>
      <c r="M152" t="str">
        <f t="shared" si="14"/>
        <v>LZ</v>
      </c>
      <c r="N152" s="32">
        <f t="shared" si="15"/>
        <v>11</v>
      </c>
      <c r="O152" t="str">
        <f t="shared" si="19"/>
        <v>Place 15+ Provoke debuffs</v>
      </c>
    </row>
    <row r="153" spans="1:15" x14ac:dyDescent="0.3">
      <c r="A153" t="s">
        <v>261</v>
      </c>
      <c r="B153" t="str">
        <f t="shared" si="20"/>
        <v>KR</v>
      </c>
      <c r="C153">
        <f t="shared" si="16"/>
        <v>17</v>
      </c>
      <c r="D153" t="b">
        <f t="shared" si="17"/>
        <v>1</v>
      </c>
      <c r="G153" t="str">
        <v xml:space="preserve">Stage 12 Defeat all when they have no buffs on them </v>
      </c>
      <c r="H153" t="str">
        <v>LZ</v>
      </c>
      <c r="I153">
        <v>12</v>
      </c>
      <c r="J153" t="b">
        <v>1</v>
      </c>
      <c r="L153" t="str">
        <f t="shared" si="18"/>
        <v>LZ12</v>
      </c>
      <c r="M153" t="str">
        <f t="shared" si="14"/>
        <v>LZ</v>
      </c>
      <c r="N153" s="32">
        <f t="shared" si="15"/>
        <v>12</v>
      </c>
      <c r="O153" t="str">
        <f t="shared" si="19"/>
        <v>Defeat all when they have no buffs on them</v>
      </c>
    </row>
    <row r="154" spans="1:15" x14ac:dyDescent="0.3">
      <c r="A154" t="s">
        <v>309</v>
      </c>
      <c r="B154" t="str">
        <f t="shared" si="20"/>
        <v>KR</v>
      </c>
      <c r="C154">
        <f t="shared" si="16"/>
        <v>18</v>
      </c>
      <c r="D154" t="b">
        <f t="shared" si="17"/>
        <v>1</v>
      </c>
      <c r="G154" t="str">
        <v>Stage 13 Reduce 9+ HP by 50% with one skill</v>
      </c>
      <c r="H154" t="str">
        <v>LZ</v>
      </c>
      <c r="I154">
        <v>13</v>
      </c>
      <c r="J154" t="b">
        <v>1</v>
      </c>
      <c r="L154" t="str">
        <f t="shared" si="18"/>
        <v>LZ13</v>
      </c>
      <c r="M154" t="str">
        <f t="shared" si="14"/>
        <v>LZ</v>
      </c>
      <c r="N154" s="32">
        <f t="shared" si="15"/>
        <v>13</v>
      </c>
      <c r="O154" t="str">
        <f t="shared" si="19"/>
        <v>Reduce 9+ HP by 50% with one skill</v>
      </c>
    </row>
    <row r="155" spans="1:15" x14ac:dyDescent="0.3">
      <c r="A155" t="s">
        <v>173</v>
      </c>
      <c r="B155" t="str">
        <f t="shared" si="20"/>
        <v>KR</v>
      </c>
      <c r="C155">
        <f t="shared" si="16"/>
        <v>19</v>
      </c>
      <c r="D155" t="b">
        <f t="shared" si="17"/>
        <v>1</v>
      </c>
      <c r="G155" t="str">
        <v xml:space="preserve">Stage 14 Clear  in 150 turns </v>
      </c>
      <c r="H155" t="str">
        <v>LZ</v>
      </c>
      <c r="I155">
        <v>14</v>
      </c>
      <c r="J155" t="b">
        <v>1</v>
      </c>
      <c r="L155" t="str">
        <f t="shared" si="18"/>
        <v>LZ14</v>
      </c>
      <c r="M155" t="str">
        <f t="shared" si="14"/>
        <v>LZ</v>
      </c>
      <c r="N155" s="32">
        <f t="shared" si="15"/>
        <v>14</v>
      </c>
      <c r="O155" t="str">
        <f t="shared" si="19"/>
        <v>Clear in 150 turns</v>
      </c>
    </row>
    <row r="156" spans="1:15" x14ac:dyDescent="0.3">
      <c r="A156" t="s">
        <v>300</v>
      </c>
      <c r="B156" t="str">
        <f t="shared" si="20"/>
        <v>KR</v>
      </c>
      <c r="C156">
        <f t="shared" si="16"/>
        <v>20</v>
      </c>
      <c r="D156" t="b">
        <f t="shared" si="17"/>
        <v>1</v>
      </c>
      <c r="G156" t="str">
        <v xml:space="preserve">Stage 15 Beat  with all Champions alive at all times </v>
      </c>
      <c r="H156" t="str">
        <v>LZ</v>
      </c>
      <c r="I156">
        <v>15</v>
      </c>
      <c r="J156" t="b">
        <v>1</v>
      </c>
      <c r="L156" t="str">
        <f t="shared" si="18"/>
        <v>LZ15</v>
      </c>
      <c r="M156" t="str">
        <f t="shared" si="14"/>
        <v>LZ</v>
      </c>
      <c r="N156" s="32">
        <f t="shared" si="15"/>
        <v>15</v>
      </c>
      <c r="O156" t="str">
        <f t="shared" si="19"/>
        <v>Beat with all Champions alive at all times</v>
      </c>
    </row>
    <row r="157" spans="1:15" x14ac:dyDescent="0.3">
      <c r="A157" t="s">
        <v>155</v>
      </c>
      <c r="B157" t="str">
        <f t="shared" si="20"/>
        <v>LZ</v>
      </c>
      <c r="C157">
        <f t="shared" si="16"/>
        <v>0</v>
      </c>
      <c r="D157" t="str">
        <f t="shared" si="17"/>
        <v/>
      </c>
      <c r="G157" t="str">
        <v xml:space="preserve">Stage 16 Get an Extra Turn 5+ times </v>
      </c>
      <c r="H157" t="str">
        <v>LZ</v>
      </c>
      <c r="I157">
        <v>16</v>
      </c>
      <c r="J157" t="b">
        <v>1</v>
      </c>
      <c r="L157" t="str">
        <f t="shared" si="18"/>
        <v>LZ16</v>
      </c>
      <c r="M157" t="str">
        <f t="shared" si="14"/>
        <v>LZ</v>
      </c>
      <c r="N157" s="32">
        <f t="shared" si="15"/>
        <v>16</v>
      </c>
      <c r="O157" t="str">
        <f t="shared" si="19"/>
        <v>Get an Extra Turn 5+ times</v>
      </c>
    </row>
    <row r="158" spans="1:15" x14ac:dyDescent="0.3">
      <c r="B158" t="str">
        <f t="shared" si="20"/>
        <v>LZ</v>
      </c>
      <c r="C158">
        <f t="shared" si="16"/>
        <v>0</v>
      </c>
      <c r="D158" t="str">
        <f t="shared" si="17"/>
        <v/>
      </c>
      <c r="G158" t="str">
        <v xml:space="preserve">Stage 17 Dont land any weak hits </v>
      </c>
      <c r="H158" t="str">
        <v>LZ</v>
      </c>
      <c r="I158">
        <v>17</v>
      </c>
      <c r="J158" t="b">
        <v>1</v>
      </c>
      <c r="L158" t="str">
        <f t="shared" si="18"/>
        <v>LZ17</v>
      </c>
      <c r="M158" t="str">
        <f t="shared" si="14"/>
        <v>LZ</v>
      </c>
      <c r="N158" s="32">
        <f t="shared" si="15"/>
        <v>17</v>
      </c>
      <c r="O158" t="str">
        <f t="shared" si="19"/>
        <v>Dont land any weak hits</v>
      </c>
    </row>
    <row r="159" spans="1:15" x14ac:dyDescent="0.3">
      <c r="A159" t="s">
        <v>202</v>
      </c>
      <c r="B159" t="str">
        <f t="shared" si="20"/>
        <v>LZ</v>
      </c>
      <c r="C159">
        <f t="shared" si="16"/>
        <v>1</v>
      </c>
      <c r="D159" t="b">
        <f t="shared" si="17"/>
        <v>1</v>
      </c>
      <c r="G159" t="str">
        <v xml:space="preserve">Stage 18 Defeat 4+ before they take a turn </v>
      </c>
      <c r="H159" t="str">
        <v>LZ</v>
      </c>
      <c r="I159">
        <v>18</v>
      </c>
      <c r="J159" t="b">
        <v>1</v>
      </c>
      <c r="L159" t="str">
        <f t="shared" si="18"/>
        <v>LZ18</v>
      </c>
      <c r="M159" t="str">
        <f t="shared" si="14"/>
        <v>LZ</v>
      </c>
      <c r="N159" s="32">
        <f t="shared" si="15"/>
        <v>18</v>
      </c>
      <c r="O159" t="str">
        <f t="shared" si="19"/>
        <v>Defeat 4+ before they take a turn</v>
      </c>
    </row>
    <row r="160" spans="1:15" x14ac:dyDescent="0.3">
      <c r="A160" t="s">
        <v>197</v>
      </c>
      <c r="B160" t="str">
        <f t="shared" si="20"/>
        <v>LZ</v>
      </c>
      <c r="C160">
        <f t="shared" si="16"/>
        <v>2</v>
      </c>
      <c r="D160" t="b">
        <f t="shared" si="17"/>
        <v>1</v>
      </c>
      <c r="G160" t="str">
        <v xml:space="preserve">Stage 19 Defeat 3+ while theyre under 10 debuffs </v>
      </c>
      <c r="H160" t="str">
        <v>LZ</v>
      </c>
      <c r="I160">
        <v>19</v>
      </c>
      <c r="J160" t="b">
        <v>1</v>
      </c>
      <c r="L160" t="str">
        <f t="shared" si="18"/>
        <v>LZ19</v>
      </c>
      <c r="M160" t="str">
        <f t="shared" si="14"/>
        <v>LZ</v>
      </c>
      <c r="N160" s="32">
        <f t="shared" si="15"/>
        <v>19</v>
      </c>
      <c r="O160" t="str">
        <f t="shared" si="19"/>
        <v>Defeat 3+ while theyre under 10 debuffs</v>
      </c>
    </row>
    <row r="161" spans="1:15" x14ac:dyDescent="0.3">
      <c r="A161" t="s">
        <v>184</v>
      </c>
      <c r="B161" t="str">
        <f t="shared" si="20"/>
        <v>LZ</v>
      </c>
      <c r="C161">
        <f t="shared" si="16"/>
        <v>3</v>
      </c>
      <c r="D161" t="b">
        <f t="shared" si="17"/>
        <v>1</v>
      </c>
      <c r="G161" t="str">
        <v>Stage 20 Keep all your Champions HP above 75%</v>
      </c>
      <c r="H161" t="str">
        <v>LZ</v>
      </c>
      <c r="I161">
        <v>20</v>
      </c>
      <c r="J161" t="b">
        <v>1</v>
      </c>
      <c r="L161" t="str">
        <f t="shared" si="18"/>
        <v>LZ20</v>
      </c>
      <c r="M161" t="str">
        <f t="shared" si="14"/>
        <v>LZ</v>
      </c>
      <c r="N161" s="32">
        <f t="shared" si="15"/>
        <v>20</v>
      </c>
      <c r="O161" t="str">
        <f t="shared" si="19"/>
        <v>Keep all your Champions HP above 75%</v>
      </c>
    </row>
    <row r="162" spans="1:15" x14ac:dyDescent="0.3">
      <c r="A162" t="s">
        <v>199</v>
      </c>
      <c r="B162" t="str">
        <f t="shared" si="20"/>
        <v>LZ</v>
      </c>
      <c r="C162">
        <f t="shared" si="16"/>
        <v>4</v>
      </c>
      <c r="D162" t="b">
        <f t="shared" si="17"/>
        <v>1</v>
      </c>
      <c r="G162" t="str">
        <v xml:space="preserve">Stage 1 Place 10+ Provoke debuffs </v>
      </c>
      <c r="H162" t="str">
        <v>OR</v>
      </c>
      <c r="I162">
        <v>1</v>
      </c>
      <c r="J162" t="b">
        <v>1</v>
      </c>
      <c r="L162" t="str">
        <f t="shared" si="18"/>
        <v>OR1</v>
      </c>
      <c r="M162" t="str">
        <f t="shared" si="14"/>
        <v>OR</v>
      </c>
      <c r="N162" s="32">
        <f t="shared" si="15"/>
        <v>1</v>
      </c>
      <c r="O162" t="str">
        <f t="shared" si="19"/>
        <v>Place 10+ Provoke debuffs</v>
      </c>
    </row>
    <row r="163" spans="1:15" x14ac:dyDescent="0.3">
      <c r="A163" t="s">
        <v>310</v>
      </c>
      <c r="B163" t="str">
        <f t="shared" si="20"/>
        <v>LZ</v>
      </c>
      <c r="C163">
        <f t="shared" si="16"/>
        <v>5</v>
      </c>
      <c r="D163" t="b">
        <f t="shared" si="17"/>
        <v>1</v>
      </c>
      <c r="G163" t="str">
        <v xml:space="preserve">Stage 2 Place 10+ Stun debuffs </v>
      </c>
      <c r="H163" t="str">
        <v>OR</v>
      </c>
      <c r="I163">
        <v>2</v>
      </c>
      <c r="J163" t="b">
        <v>1</v>
      </c>
      <c r="L163" t="str">
        <f t="shared" si="18"/>
        <v>OR2</v>
      </c>
      <c r="M163" t="str">
        <f t="shared" si="14"/>
        <v>OR</v>
      </c>
      <c r="N163" s="32">
        <f t="shared" si="15"/>
        <v>2</v>
      </c>
      <c r="O163" t="str">
        <f t="shared" si="19"/>
        <v>Place 10+ Stun debuffs</v>
      </c>
    </row>
    <row r="164" spans="1:15" x14ac:dyDescent="0.3">
      <c r="A164" t="s">
        <v>178</v>
      </c>
      <c r="B164" t="str">
        <f t="shared" si="20"/>
        <v>LZ</v>
      </c>
      <c r="C164">
        <f t="shared" si="16"/>
        <v>6</v>
      </c>
      <c r="D164" t="b">
        <f t="shared" si="17"/>
        <v>1</v>
      </c>
      <c r="G164" t="str">
        <v xml:space="preserve">Stage 3 Reduce 6+ HP by 50% with one skill </v>
      </c>
      <c r="H164" t="str">
        <v>OR</v>
      </c>
      <c r="I164">
        <v>3</v>
      </c>
      <c r="J164" t="b">
        <v>1</v>
      </c>
      <c r="L164" t="str">
        <f t="shared" si="18"/>
        <v>OR3</v>
      </c>
      <c r="M164" t="str">
        <f t="shared" si="14"/>
        <v>OR</v>
      </c>
      <c r="N164" s="32">
        <f t="shared" si="15"/>
        <v>3</v>
      </c>
      <c r="O164" t="str">
        <f t="shared" si="19"/>
        <v>Reduce 6+ HP by 50% with one skill</v>
      </c>
    </row>
    <row r="165" spans="1:15" x14ac:dyDescent="0.3">
      <c r="A165" t="s">
        <v>167</v>
      </c>
      <c r="B165" t="str">
        <f t="shared" si="20"/>
        <v>LZ</v>
      </c>
      <c r="C165">
        <f t="shared" si="16"/>
        <v>7</v>
      </c>
      <c r="D165" t="b">
        <f t="shared" si="17"/>
        <v>1</v>
      </c>
      <c r="G165" t="str">
        <v xml:space="preserve">Stage 4 Manipulate skill cooldowns 10+ times </v>
      </c>
      <c r="H165" t="str">
        <v>OR</v>
      </c>
      <c r="I165">
        <v>4</v>
      </c>
      <c r="J165" t="b">
        <v>1</v>
      </c>
      <c r="L165" t="str">
        <f t="shared" si="18"/>
        <v>OR4</v>
      </c>
      <c r="M165" t="str">
        <f t="shared" si="14"/>
        <v>OR</v>
      </c>
      <c r="N165" s="32">
        <f t="shared" si="15"/>
        <v>4</v>
      </c>
      <c r="O165" t="str">
        <f t="shared" si="19"/>
        <v>Manipulate skill cooldowns 10+ times</v>
      </c>
    </row>
    <row r="166" spans="1:15" x14ac:dyDescent="0.3">
      <c r="A166" t="s">
        <v>190</v>
      </c>
      <c r="B166" t="str">
        <f t="shared" si="20"/>
        <v>LZ</v>
      </c>
      <c r="C166">
        <f t="shared" si="16"/>
        <v>8</v>
      </c>
      <c r="D166" t="b">
        <f t="shared" si="17"/>
        <v>1</v>
      </c>
      <c r="G166" t="str">
        <v xml:space="preserve">Stage 5 Place 10+ HP Burn debuffs </v>
      </c>
      <c r="H166" t="str">
        <v>OR</v>
      </c>
      <c r="I166">
        <v>5</v>
      </c>
      <c r="J166" t="b">
        <v>1</v>
      </c>
      <c r="L166" t="str">
        <f t="shared" si="18"/>
        <v>OR5</v>
      </c>
      <c r="M166" t="str">
        <f t="shared" si="14"/>
        <v>OR</v>
      </c>
      <c r="N166" s="32">
        <f t="shared" si="15"/>
        <v>5</v>
      </c>
      <c r="O166" t="str">
        <f t="shared" si="19"/>
        <v>Place 10+ HP Burn debuffs</v>
      </c>
    </row>
    <row r="167" spans="1:15" x14ac:dyDescent="0.3">
      <c r="A167" t="s">
        <v>211</v>
      </c>
      <c r="B167" t="str">
        <f t="shared" si="20"/>
        <v>LZ</v>
      </c>
      <c r="C167">
        <f t="shared" si="16"/>
        <v>9</v>
      </c>
      <c r="D167" t="b">
        <f t="shared" si="17"/>
        <v>1</v>
      </c>
      <c r="G167" t="str">
        <v xml:space="preserve">Stage 6 Manipulate Turn Meters 40+ times </v>
      </c>
      <c r="H167" t="str">
        <v>OR</v>
      </c>
      <c r="I167">
        <v>6</v>
      </c>
      <c r="J167" t="b">
        <v>1</v>
      </c>
      <c r="L167" t="str">
        <f t="shared" si="18"/>
        <v>OR6</v>
      </c>
      <c r="M167" t="str">
        <f t="shared" si="14"/>
        <v>OR</v>
      </c>
      <c r="N167" s="32">
        <f t="shared" si="15"/>
        <v>6</v>
      </c>
      <c r="O167" t="str">
        <f t="shared" si="19"/>
        <v>Manipulate Turn Meters 40+ times</v>
      </c>
    </row>
    <row r="168" spans="1:15" x14ac:dyDescent="0.3">
      <c r="A168" t="s">
        <v>169</v>
      </c>
      <c r="B168" t="str">
        <f t="shared" si="20"/>
        <v>LZ</v>
      </c>
      <c r="C168">
        <f t="shared" si="16"/>
        <v>10</v>
      </c>
      <c r="D168" t="b">
        <f t="shared" si="17"/>
        <v>1</v>
      </c>
      <c r="G168" t="str">
        <v xml:space="preserve">Stage 7 Clear  in 100 turns </v>
      </c>
      <c r="H168" t="str">
        <v>OR</v>
      </c>
      <c r="I168">
        <v>7</v>
      </c>
      <c r="J168" t="b">
        <v>1</v>
      </c>
      <c r="L168" t="str">
        <f t="shared" si="18"/>
        <v>OR7</v>
      </c>
      <c r="M168" t="str">
        <f t="shared" si="14"/>
        <v>OR</v>
      </c>
      <c r="N168" s="32">
        <f t="shared" si="15"/>
        <v>7</v>
      </c>
      <c r="O168" t="str">
        <f t="shared" si="19"/>
        <v>Clear in 100 turns</v>
      </c>
    </row>
    <row r="169" spans="1:15" x14ac:dyDescent="0.3">
      <c r="A169" t="s">
        <v>180</v>
      </c>
      <c r="B169" t="str">
        <f t="shared" si="20"/>
        <v>LZ</v>
      </c>
      <c r="C169">
        <f t="shared" si="16"/>
        <v>11</v>
      </c>
      <c r="D169" t="b">
        <f t="shared" si="17"/>
        <v>1</v>
      </c>
      <c r="G169" t="str">
        <v xml:space="preserve">Stage 8 Place 15+ Provoke debuffs </v>
      </c>
      <c r="H169" t="str">
        <v>OR</v>
      </c>
      <c r="I169">
        <v>8</v>
      </c>
      <c r="J169" t="b">
        <v>1</v>
      </c>
      <c r="L169" t="str">
        <f t="shared" si="18"/>
        <v>OR8</v>
      </c>
      <c r="M169" t="str">
        <f t="shared" si="14"/>
        <v>OR</v>
      </c>
      <c r="N169" s="32">
        <f t="shared" si="15"/>
        <v>8</v>
      </c>
      <c r="O169" t="str">
        <f t="shared" si="19"/>
        <v>Place 15+ Provoke debuffs</v>
      </c>
    </row>
    <row r="170" spans="1:15" x14ac:dyDescent="0.3">
      <c r="A170" t="s">
        <v>302</v>
      </c>
      <c r="B170" t="str">
        <f t="shared" si="20"/>
        <v>LZ</v>
      </c>
      <c r="C170">
        <f t="shared" si="16"/>
        <v>12</v>
      </c>
      <c r="D170" t="b">
        <f t="shared" si="17"/>
        <v>1</v>
      </c>
      <c r="G170" t="str">
        <v xml:space="preserve">Stage 9 Place 15+ Stun debuffs </v>
      </c>
      <c r="H170" t="str">
        <v>OR</v>
      </c>
      <c r="I170">
        <v>9</v>
      </c>
      <c r="J170" t="b">
        <v>1</v>
      </c>
      <c r="L170" t="str">
        <f t="shared" si="18"/>
        <v>OR9</v>
      </c>
      <c r="M170" t="str">
        <f t="shared" si="14"/>
        <v>OR</v>
      </c>
      <c r="N170" s="32">
        <f t="shared" si="15"/>
        <v>9</v>
      </c>
      <c r="O170" t="str">
        <f t="shared" si="19"/>
        <v>Place 15+ Stun debuffs</v>
      </c>
    </row>
    <row r="171" spans="1:15" x14ac:dyDescent="0.3">
      <c r="A171" t="s">
        <v>311</v>
      </c>
      <c r="B171" t="str">
        <f t="shared" si="20"/>
        <v>LZ</v>
      </c>
      <c r="C171">
        <f t="shared" si="16"/>
        <v>13</v>
      </c>
      <c r="D171" t="b">
        <f t="shared" si="17"/>
        <v>1</v>
      </c>
      <c r="G171" t="str">
        <v xml:space="preserve">Stage 10 Use at least 3 Epic Champions </v>
      </c>
      <c r="H171" t="str">
        <v>OR</v>
      </c>
      <c r="I171">
        <v>10</v>
      </c>
      <c r="J171" t="b">
        <v>1</v>
      </c>
      <c r="L171" t="str">
        <f t="shared" si="18"/>
        <v>OR10</v>
      </c>
      <c r="M171" t="str">
        <f t="shared" si="14"/>
        <v>OR</v>
      </c>
      <c r="N171" s="32">
        <f t="shared" si="15"/>
        <v>10</v>
      </c>
      <c r="O171" t="str">
        <f t="shared" si="19"/>
        <v>Use at least 3 Epic Champions</v>
      </c>
    </row>
    <row r="172" spans="1:15" x14ac:dyDescent="0.3">
      <c r="A172" t="s">
        <v>195</v>
      </c>
      <c r="B172" t="str">
        <f t="shared" si="20"/>
        <v>LZ</v>
      </c>
      <c r="C172">
        <f t="shared" si="16"/>
        <v>14</v>
      </c>
      <c r="D172" t="b">
        <f t="shared" si="17"/>
        <v>1</v>
      </c>
      <c r="G172" t="str">
        <v xml:space="preserve">Stage 11 Defeat all when they have no buffs on them </v>
      </c>
      <c r="H172" t="str">
        <v>OR</v>
      </c>
      <c r="I172">
        <v>11</v>
      </c>
      <c r="J172" t="b">
        <v>1</v>
      </c>
      <c r="L172" t="str">
        <f t="shared" si="18"/>
        <v>OR11</v>
      </c>
      <c r="M172" t="str">
        <f t="shared" si="14"/>
        <v>OR</v>
      </c>
      <c r="N172" s="32">
        <f t="shared" si="15"/>
        <v>11</v>
      </c>
      <c r="O172" t="str">
        <f t="shared" si="19"/>
        <v>Defeat all when they have no buffs on them</v>
      </c>
    </row>
    <row r="173" spans="1:15" x14ac:dyDescent="0.3">
      <c r="A173" t="s">
        <v>172</v>
      </c>
      <c r="B173" t="str">
        <f t="shared" si="20"/>
        <v>LZ</v>
      </c>
      <c r="C173">
        <f t="shared" si="16"/>
        <v>15</v>
      </c>
      <c r="D173" t="b">
        <f t="shared" si="17"/>
        <v>1</v>
      </c>
      <c r="G173" t="str">
        <v xml:space="preserve">Stage 12 Manipulate buff or debuff duration 30+ times </v>
      </c>
      <c r="H173" t="str">
        <v>OR</v>
      </c>
      <c r="I173">
        <v>12</v>
      </c>
      <c r="J173" t="b">
        <v>1</v>
      </c>
      <c r="L173" t="str">
        <f t="shared" si="18"/>
        <v>OR12</v>
      </c>
      <c r="M173" t="str">
        <f t="shared" si="14"/>
        <v>OR</v>
      </c>
      <c r="N173" s="32">
        <f t="shared" si="15"/>
        <v>12</v>
      </c>
      <c r="O173" t="str">
        <f t="shared" si="19"/>
        <v>Manipulate buff or debuff duration 30+ times</v>
      </c>
    </row>
    <row r="174" spans="1:15" x14ac:dyDescent="0.3">
      <c r="A174" t="s">
        <v>196</v>
      </c>
      <c r="B174" t="str">
        <f t="shared" si="20"/>
        <v>LZ</v>
      </c>
      <c r="C174">
        <f t="shared" si="16"/>
        <v>16</v>
      </c>
      <c r="D174" t="b">
        <f t="shared" si="17"/>
        <v>1</v>
      </c>
      <c r="G174" t="str">
        <v xml:space="preserve">Stage 13 Defeat 3+ using Ally Attack skills or counterattacks </v>
      </c>
      <c r="H174" t="str">
        <v>OR</v>
      </c>
      <c r="I174">
        <v>13</v>
      </c>
      <c r="J174" t="b">
        <v>1</v>
      </c>
      <c r="L174" t="str">
        <f t="shared" si="18"/>
        <v>OR13</v>
      </c>
      <c r="M174" t="str">
        <f t="shared" si="14"/>
        <v>OR</v>
      </c>
      <c r="N174" s="32">
        <f t="shared" si="15"/>
        <v>13</v>
      </c>
      <c r="O174" t="str">
        <f t="shared" si="19"/>
        <v>Defeat 3+ using Ally Attack skills or counterattacks</v>
      </c>
    </row>
    <row r="175" spans="1:15" x14ac:dyDescent="0.3">
      <c r="A175" t="s">
        <v>261</v>
      </c>
      <c r="B175" t="str">
        <f t="shared" si="20"/>
        <v>LZ</v>
      </c>
      <c r="C175">
        <f t="shared" si="16"/>
        <v>17</v>
      </c>
      <c r="D175" t="b">
        <f t="shared" si="17"/>
        <v>1</v>
      </c>
      <c r="G175" t="str">
        <v xml:space="preserve">Stage 14 Clear  in 150 turns </v>
      </c>
      <c r="H175" t="str">
        <v>OR</v>
      </c>
      <c r="I175">
        <v>14</v>
      </c>
      <c r="J175" t="b">
        <v>1</v>
      </c>
      <c r="L175" t="str">
        <f t="shared" si="18"/>
        <v>OR14</v>
      </c>
      <c r="M175" t="str">
        <f t="shared" si="14"/>
        <v>OR</v>
      </c>
      <c r="N175" s="32">
        <f t="shared" si="15"/>
        <v>14</v>
      </c>
      <c r="O175" t="str">
        <f t="shared" si="19"/>
        <v>Clear in 150 turns</v>
      </c>
    </row>
    <row r="176" spans="1:15" x14ac:dyDescent="0.3">
      <c r="A176" t="s">
        <v>293</v>
      </c>
      <c r="B176" t="str">
        <f t="shared" si="20"/>
        <v>LZ</v>
      </c>
      <c r="C176">
        <f t="shared" si="16"/>
        <v>18</v>
      </c>
      <c r="D176" t="b">
        <f t="shared" si="17"/>
        <v>1</v>
      </c>
      <c r="G176" t="str">
        <v xml:space="preserve">Stage 15 Beat  with all Champions alive at all times </v>
      </c>
      <c r="H176" t="str">
        <v>OR</v>
      </c>
      <c r="I176">
        <v>15</v>
      </c>
      <c r="J176" t="b">
        <v>1</v>
      </c>
      <c r="L176" t="str">
        <f t="shared" si="18"/>
        <v>OR15</v>
      </c>
      <c r="M176" t="str">
        <f t="shared" si="14"/>
        <v>OR</v>
      </c>
      <c r="N176" s="32">
        <f t="shared" si="15"/>
        <v>15</v>
      </c>
      <c r="O176" t="str">
        <f t="shared" si="19"/>
        <v>Beat with all Champions alive at all times</v>
      </c>
    </row>
    <row r="177" spans="1:15" x14ac:dyDescent="0.3">
      <c r="A177" t="s">
        <v>297</v>
      </c>
      <c r="B177" t="str">
        <f t="shared" si="20"/>
        <v>LZ</v>
      </c>
      <c r="C177">
        <f t="shared" si="16"/>
        <v>19</v>
      </c>
      <c r="D177" t="b">
        <f t="shared" si="17"/>
        <v>1</v>
      </c>
      <c r="G177" t="str">
        <v xml:space="preserve">Stage 16 Defeat 4+ before they take a turn </v>
      </c>
      <c r="H177" t="str">
        <v>OR</v>
      </c>
      <c r="I177">
        <v>16</v>
      </c>
      <c r="J177" t="b">
        <v>1</v>
      </c>
      <c r="L177" t="str">
        <f t="shared" si="18"/>
        <v>OR16</v>
      </c>
      <c r="M177" t="str">
        <f t="shared" si="14"/>
        <v>OR</v>
      </c>
      <c r="N177" s="32">
        <f t="shared" si="15"/>
        <v>16</v>
      </c>
      <c r="O177" t="str">
        <f t="shared" si="19"/>
        <v>Defeat 4+ before they take a turn</v>
      </c>
    </row>
    <row r="178" spans="1:15" x14ac:dyDescent="0.3">
      <c r="A178" t="s">
        <v>262</v>
      </c>
      <c r="B178" t="str">
        <f t="shared" si="20"/>
        <v>LZ</v>
      </c>
      <c r="C178">
        <f t="shared" si="16"/>
        <v>20</v>
      </c>
      <c r="D178" t="b">
        <f t="shared" si="17"/>
        <v>1</v>
      </c>
      <c r="G178" t="str">
        <v xml:space="preserve">Stage 17 Dont land any weak hits </v>
      </c>
      <c r="H178" t="str">
        <v>OR</v>
      </c>
      <c r="I178">
        <v>17</v>
      </c>
      <c r="J178" t="b">
        <v>1</v>
      </c>
      <c r="L178" t="str">
        <f t="shared" si="18"/>
        <v>OR17</v>
      </c>
      <c r="M178" t="str">
        <f t="shared" si="14"/>
        <v>OR</v>
      </c>
      <c r="N178" s="32">
        <f t="shared" si="15"/>
        <v>17</v>
      </c>
      <c r="O178" t="str">
        <f t="shared" si="19"/>
        <v>Dont land any weak hits</v>
      </c>
    </row>
    <row r="179" spans="1:15" x14ac:dyDescent="0.3">
      <c r="A179" t="s">
        <v>156</v>
      </c>
      <c r="B179" t="str">
        <f t="shared" si="20"/>
        <v>OR</v>
      </c>
      <c r="C179">
        <f t="shared" si="16"/>
        <v>0</v>
      </c>
      <c r="D179" t="str">
        <f t="shared" si="17"/>
        <v/>
      </c>
      <c r="G179" t="str">
        <v xml:space="preserve">Stage 18 Defeat 3+ while your Champions are under 7 or more buffs </v>
      </c>
      <c r="H179" t="str">
        <v>OR</v>
      </c>
      <c r="I179">
        <v>18</v>
      </c>
      <c r="J179" t="b">
        <v>1</v>
      </c>
      <c r="L179" t="str">
        <f t="shared" si="18"/>
        <v>OR18</v>
      </c>
      <c r="M179" t="str">
        <f t="shared" si="14"/>
        <v>OR</v>
      </c>
      <c r="N179" s="32">
        <f t="shared" si="15"/>
        <v>18</v>
      </c>
      <c r="O179" t="str">
        <f t="shared" si="19"/>
        <v>Defeat 3+ while your Champions are under 7 or more buffs</v>
      </c>
    </row>
    <row r="180" spans="1:15" x14ac:dyDescent="0.3">
      <c r="B180" t="str">
        <f t="shared" si="20"/>
        <v>OR</v>
      </c>
      <c r="C180">
        <f t="shared" si="16"/>
        <v>0</v>
      </c>
      <c r="D180" t="str">
        <f t="shared" si="17"/>
        <v/>
      </c>
      <c r="G180" t="str">
        <v xml:space="preserve">Stage 19 Dont let enemies use any active skills </v>
      </c>
      <c r="H180" t="str">
        <v>OR</v>
      </c>
      <c r="I180">
        <v>19</v>
      </c>
      <c r="J180" t="b">
        <v>1</v>
      </c>
      <c r="L180" t="str">
        <f t="shared" si="18"/>
        <v>OR19</v>
      </c>
      <c r="M180" t="str">
        <f t="shared" si="14"/>
        <v>OR</v>
      </c>
      <c r="N180" s="32">
        <f t="shared" si="15"/>
        <v>19</v>
      </c>
      <c r="O180" t="str">
        <f t="shared" si="19"/>
        <v>Dont let enemies use any active skills</v>
      </c>
    </row>
    <row r="181" spans="1:15" x14ac:dyDescent="0.3">
      <c r="A181" t="s">
        <v>217</v>
      </c>
      <c r="B181" t="str">
        <f t="shared" si="20"/>
        <v>OR</v>
      </c>
      <c r="C181">
        <f t="shared" si="16"/>
        <v>1</v>
      </c>
      <c r="D181" t="b">
        <f t="shared" si="17"/>
        <v>1</v>
      </c>
      <c r="G181" t="str">
        <v>Stage 20 Keep all your Champions HP above 75%</v>
      </c>
      <c r="H181" t="str">
        <v>OR</v>
      </c>
      <c r="I181">
        <v>20</v>
      </c>
      <c r="J181" t="b">
        <v>1</v>
      </c>
      <c r="L181" t="str">
        <f t="shared" si="18"/>
        <v>OR20</v>
      </c>
      <c r="M181" t="str">
        <f t="shared" si="14"/>
        <v>OR</v>
      </c>
      <c r="N181" s="32">
        <f t="shared" si="15"/>
        <v>20</v>
      </c>
      <c r="O181" t="str">
        <f t="shared" si="19"/>
        <v>Keep all your Champions HP above 75%</v>
      </c>
    </row>
    <row r="182" spans="1:15" x14ac:dyDescent="0.3">
      <c r="A182" t="s">
        <v>197</v>
      </c>
      <c r="B182" t="str">
        <f t="shared" si="20"/>
        <v>OR</v>
      </c>
      <c r="C182">
        <f t="shared" si="16"/>
        <v>2</v>
      </c>
      <c r="D182" t="b">
        <f t="shared" si="17"/>
        <v>1</v>
      </c>
      <c r="G182" t="str">
        <v xml:space="preserve">Stage 1 Place 20+ Poison debuffs </v>
      </c>
      <c r="H182" t="str">
        <v>OT</v>
      </c>
      <c r="I182">
        <v>1</v>
      </c>
      <c r="J182" t="b">
        <v>1</v>
      </c>
      <c r="L182" t="str">
        <f t="shared" si="18"/>
        <v>OT1</v>
      </c>
      <c r="M182" t="str">
        <f t="shared" si="14"/>
        <v>OT</v>
      </c>
      <c r="N182" s="32">
        <f t="shared" si="15"/>
        <v>1</v>
      </c>
      <c r="O182" t="str">
        <f t="shared" si="19"/>
        <v>Place 20+ Poison debuffs</v>
      </c>
    </row>
    <row r="183" spans="1:15" x14ac:dyDescent="0.3">
      <c r="A183" t="s">
        <v>312</v>
      </c>
      <c r="B183" t="str">
        <f t="shared" si="20"/>
        <v>OR</v>
      </c>
      <c r="C183">
        <f t="shared" si="16"/>
        <v>3</v>
      </c>
      <c r="D183" t="b">
        <f t="shared" si="17"/>
        <v>1</v>
      </c>
      <c r="G183" t="str">
        <v xml:space="preserve">Stage 2 Place 10+ Stun debuffs </v>
      </c>
      <c r="H183" t="str">
        <v>OT</v>
      </c>
      <c r="I183">
        <v>2</v>
      </c>
      <c r="J183" t="b">
        <v>1</v>
      </c>
      <c r="L183" t="str">
        <f t="shared" si="18"/>
        <v>OT2</v>
      </c>
      <c r="M183" t="str">
        <f t="shared" si="14"/>
        <v>OT</v>
      </c>
      <c r="N183" s="32">
        <f t="shared" si="15"/>
        <v>2</v>
      </c>
      <c r="O183" t="str">
        <f t="shared" si="19"/>
        <v>Place 10+ Stun debuffs</v>
      </c>
    </row>
    <row r="184" spans="1:15" x14ac:dyDescent="0.3">
      <c r="A184" t="s">
        <v>215</v>
      </c>
      <c r="B184" t="str">
        <f t="shared" si="20"/>
        <v>OR</v>
      </c>
      <c r="C184">
        <f t="shared" si="16"/>
        <v>4</v>
      </c>
      <c r="D184" t="b">
        <f t="shared" si="17"/>
        <v>1</v>
      </c>
      <c r="G184" t="str">
        <v xml:space="preserve">Stage 3 Place 10+ Provoke debuffs </v>
      </c>
      <c r="H184" t="str">
        <v>OT</v>
      </c>
      <c r="I184">
        <v>3</v>
      </c>
      <c r="J184" t="b">
        <v>1</v>
      </c>
      <c r="L184" t="str">
        <f t="shared" si="18"/>
        <v>OT3</v>
      </c>
      <c r="M184" t="str">
        <f t="shared" si="14"/>
        <v>OT</v>
      </c>
      <c r="N184" s="32">
        <f t="shared" si="15"/>
        <v>3</v>
      </c>
      <c r="O184" t="str">
        <f t="shared" si="19"/>
        <v>Place 10+ Provoke debuffs</v>
      </c>
    </row>
    <row r="185" spans="1:15" x14ac:dyDescent="0.3">
      <c r="A185" t="s">
        <v>192</v>
      </c>
      <c r="B185" t="str">
        <f t="shared" si="20"/>
        <v>OR</v>
      </c>
      <c r="C185">
        <f t="shared" si="16"/>
        <v>5</v>
      </c>
      <c r="D185" t="b">
        <f t="shared" si="17"/>
        <v>1</v>
      </c>
      <c r="G185" t="str">
        <v xml:space="preserve">Stage 4 Manipulate buff or debuff duration 20+ times </v>
      </c>
      <c r="H185" t="str">
        <v>OT</v>
      </c>
      <c r="I185">
        <v>4</v>
      </c>
      <c r="J185" t="b">
        <v>1</v>
      </c>
      <c r="L185" t="str">
        <f t="shared" si="18"/>
        <v>OT4</v>
      </c>
      <c r="M185" t="str">
        <f t="shared" si="14"/>
        <v>OT</v>
      </c>
      <c r="N185" s="32">
        <f t="shared" si="15"/>
        <v>4</v>
      </c>
      <c r="O185" t="str">
        <f t="shared" si="19"/>
        <v>Manipulate buff or debuff duration 20+ times</v>
      </c>
    </row>
    <row r="186" spans="1:15" x14ac:dyDescent="0.3">
      <c r="A186" t="s">
        <v>178</v>
      </c>
      <c r="B186" t="str">
        <f t="shared" si="20"/>
        <v>OR</v>
      </c>
      <c r="C186">
        <f t="shared" si="16"/>
        <v>6</v>
      </c>
      <c r="D186" t="b">
        <f t="shared" si="17"/>
        <v>1</v>
      </c>
      <c r="G186" t="str">
        <v xml:space="preserve">Stage 5  Land 40+ hits on while they are under Leech debuffs </v>
      </c>
      <c r="H186" t="str">
        <v>OT</v>
      </c>
      <c r="I186">
        <v>5</v>
      </c>
      <c r="J186" t="b">
        <v>1</v>
      </c>
      <c r="L186" t="str">
        <f t="shared" si="18"/>
        <v>OT5</v>
      </c>
      <c r="M186" t="str">
        <f t="shared" si="14"/>
        <v>OT</v>
      </c>
      <c r="N186" s="32">
        <f t="shared" si="15"/>
        <v>5</v>
      </c>
      <c r="O186" t="str">
        <f t="shared" si="19"/>
        <v>Land 40+ hits on while they are under Leech debuffs</v>
      </c>
    </row>
    <row r="187" spans="1:15" x14ac:dyDescent="0.3">
      <c r="A187" t="s">
        <v>167</v>
      </c>
      <c r="B187" t="str">
        <f t="shared" si="20"/>
        <v>OR</v>
      </c>
      <c r="C187">
        <f t="shared" si="16"/>
        <v>7</v>
      </c>
      <c r="D187" t="b">
        <f t="shared" si="17"/>
        <v>1</v>
      </c>
      <c r="G187" t="str">
        <v xml:space="preserve">Stage 6 Manipulate Turn Meters 40+ times </v>
      </c>
      <c r="H187" t="str">
        <v>OT</v>
      </c>
      <c r="I187">
        <v>6</v>
      </c>
      <c r="J187" t="b">
        <v>1</v>
      </c>
      <c r="L187" t="str">
        <f t="shared" si="18"/>
        <v>OT6</v>
      </c>
      <c r="M187" t="str">
        <f t="shared" si="14"/>
        <v>OT</v>
      </c>
      <c r="N187" s="32">
        <f t="shared" si="15"/>
        <v>6</v>
      </c>
      <c r="O187" t="str">
        <f t="shared" si="19"/>
        <v>Manipulate Turn Meters 40+ times</v>
      </c>
    </row>
    <row r="188" spans="1:15" x14ac:dyDescent="0.3">
      <c r="A188" t="s">
        <v>193</v>
      </c>
      <c r="B188" t="str">
        <f t="shared" si="20"/>
        <v>OR</v>
      </c>
      <c r="C188">
        <f t="shared" si="16"/>
        <v>8</v>
      </c>
      <c r="D188" t="b">
        <f t="shared" si="17"/>
        <v>1</v>
      </c>
      <c r="G188" t="str">
        <v xml:space="preserve">Stage 7 Clear  in 100 turns </v>
      </c>
      <c r="H188" t="str">
        <v>OT</v>
      </c>
      <c r="I188">
        <v>7</v>
      </c>
      <c r="J188" t="b">
        <v>1</v>
      </c>
      <c r="L188" t="str">
        <f t="shared" si="18"/>
        <v>OT7</v>
      </c>
      <c r="M188" t="str">
        <f t="shared" si="14"/>
        <v>OT</v>
      </c>
      <c r="N188" s="32">
        <f t="shared" si="15"/>
        <v>7</v>
      </c>
      <c r="O188" t="str">
        <f t="shared" si="19"/>
        <v>Clear in 100 turns</v>
      </c>
    </row>
    <row r="189" spans="1:15" x14ac:dyDescent="0.3">
      <c r="A189" t="s">
        <v>211</v>
      </c>
      <c r="B189" t="str">
        <f t="shared" si="20"/>
        <v>OR</v>
      </c>
      <c r="C189">
        <f t="shared" si="16"/>
        <v>9</v>
      </c>
      <c r="D189" t="b">
        <f t="shared" si="17"/>
        <v>1</v>
      </c>
      <c r="G189" t="str">
        <v xml:space="preserve">Stage 8 Place 15+ Stun debuffs </v>
      </c>
      <c r="H189" t="str">
        <v>OT</v>
      </c>
      <c r="I189">
        <v>8</v>
      </c>
      <c r="J189" t="b">
        <v>1</v>
      </c>
      <c r="L189" t="str">
        <f t="shared" si="18"/>
        <v>OT8</v>
      </c>
      <c r="M189" t="str">
        <f t="shared" si="14"/>
        <v>OT</v>
      </c>
      <c r="N189" s="32">
        <f t="shared" si="15"/>
        <v>8</v>
      </c>
      <c r="O189" t="str">
        <f t="shared" si="19"/>
        <v>Place 15+ Stun debuffs</v>
      </c>
    </row>
    <row r="190" spans="1:15" x14ac:dyDescent="0.3">
      <c r="A190" t="s">
        <v>169</v>
      </c>
      <c r="B190" t="str">
        <f t="shared" si="20"/>
        <v>OR</v>
      </c>
      <c r="C190">
        <f t="shared" si="16"/>
        <v>10</v>
      </c>
      <c r="D190" t="b">
        <f t="shared" si="17"/>
        <v>1</v>
      </c>
      <c r="G190" t="str">
        <v xml:space="preserve">Stage 9 Place 15+ Provoke debuffs </v>
      </c>
      <c r="H190" t="str">
        <v>OT</v>
      </c>
      <c r="I190">
        <v>9</v>
      </c>
      <c r="J190" t="b">
        <v>1</v>
      </c>
      <c r="L190" t="str">
        <f t="shared" si="18"/>
        <v>OT9</v>
      </c>
      <c r="M190" t="str">
        <f t="shared" si="14"/>
        <v>OT</v>
      </c>
      <c r="N190" s="32">
        <f t="shared" si="15"/>
        <v>9</v>
      </c>
      <c r="O190" t="str">
        <f t="shared" si="19"/>
        <v>Place 15+ Provoke debuffs</v>
      </c>
    </row>
    <row r="191" spans="1:15" x14ac:dyDescent="0.3">
      <c r="A191" t="s">
        <v>291</v>
      </c>
      <c r="B191" t="str">
        <f t="shared" si="20"/>
        <v>OR</v>
      </c>
      <c r="C191">
        <f t="shared" si="16"/>
        <v>11</v>
      </c>
      <c r="D191" t="b">
        <f t="shared" si="17"/>
        <v>1</v>
      </c>
      <c r="G191" t="str">
        <v xml:space="preserve">Stage 10 Use at least 3 Epic Champions </v>
      </c>
      <c r="H191" t="str">
        <v>OT</v>
      </c>
      <c r="I191">
        <v>10</v>
      </c>
      <c r="J191" t="b">
        <v>1</v>
      </c>
      <c r="L191" t="str">
        <f t="shared" si="18"/>
        <v>OT10</v>
      </c>
      <c r="M191" t="str">
        <f t="shared" si="14"/>
        <v>OT</v>
      </c>
      <c r="N191" s="32">
        <f t="shared" si="15"/>
        <v>10</v>
      </c>
      <c r="O191" t="str">
        <f t="shared" si="19"/>
        <v>Use at least 3 Epic Champions</v>
      </c>
    </row>
    <row r="192" spans="1:15" x14ac:dyDescent="0.3">
      <c r="A192" t="s">
        <v>259</v>
      </c>
      <c r="B192" t="str">
        <f t="shared" si="20"/>
        <v>OR</v>
      </c>
      <c r="C192">
        <f t="shared" si="16"/>
        <v>12</v>
      </c>
      <c r="D192" t="b">
        <f t="shared" si="17"/>
        <v>1</v>
      </c>
      <c r="G192" t="str">
        <v xml:space="preserve">Stage 11 Defeat 10+ using Bomb debuffs </v>
      </c>
      <c r="H192" t="str">
        <v>OT</v>
      </c>
      <c r="I192">
        <v>11</v>
      </c>
      <c r="J192" t="b">
        <v>1</v>
      </c>
      <c r="L192" t="str">
        <f t="shared" si="18"/>
        <v>OT11</v>
      </c>
      <c r="M192" t="str">
        <f t="shared" si="14"/>
        <v>OT</v>
      </c>
      <c r="N192" s="32">
        <f t="shared" si="15"/>
        <v>11</v>
      </c>
      <c r="O192" t="str">
        <f t="shared" si="19"/>
        <v>Defeat 10+ using Bomb debuffs</v>
      </c>
    </row>
    <row r="193" spans="1:15" x14ac:dyDescent="0.3">
      <c r="A193" t="s">
        <v>313</v>
      </c>
      <c r="B193" t="str">
        <f t="shared" si="20"/>
        <v>OR</v>
      </c>
      <c r="C193">
        <f t="shared" si="16"/>
        <v>13</v>
      </c>
      <c r="D193" t="b">
        <f t="shared" si="17"/>
        <v>1</v>
      </c>
      <c r="G193" t="str">
        <v xml:space="preserve">Stage 12 Place 15+ HP Burn debuffs </v>
      </c>
      <c r="H193" t="str">
        <v>OT</v>
      </c>
      <c r="I193">
        <v>12</v>
      </c>
      <c r="J193" t="b">
        <v>1</v>
      </c>
      <c r="L193" t="str">
        <f t="shared" si="18"/>
        <v>OT12</v>
      </c>
      <c r="M193" t="str">
        <f t="shared" si="14"/>
        <v>OT</v>
      </c>
      <c r="N193" s="32">
        <f t="shared" si="15"/>
        <v>12</v>
      </c>
      <c r="O193" t="str">
        <f t="shared" si="19"/>
        <v>Place 15+ HP Burn debuffs</v>
      </c>
    </row>
    <row r="194" spans="1:15" x14ac:dyDescent="0.3">
      <c r="A194" t="s">
        <v>195</v>
      </c>
      <c r="B194" t="str">
        <f t="shared" si="20"/>
        <v>OR</v>
      </c>
      <c r="C194">
        <f t="shared" si="16"/>
        <v>14</v>
      </c>
      <c r="D194" t="b">
        <f t="shared" si="17"/>
        <v>1</v>
      </c>
      <c r="G194" t="str">
        <v xml:space="preserve">Stage 13 Defeat all when they have no buffs on them </v>
      </c>
      <c r="H194" t="str">
        <v>OT</v>
      </c>
      <c r="I194">
        <v>13</v>
      </c>
      <c r="J194" t="b">
        <v>1</v>
      </c>
      <c r="L194" t="str">
        <f t="shared" si="18"/>
        <v>OT13</v>
      </c>
      <c r="M194" t="str">
        <f t="shared" ref="M194:M257" si="23">H194</f>
        <v>OT</v>
      </c>
      <c r="N194" s="32">
        <f t="shared" ref="N194:N257" si="24">I194</f>
        <v>13</v>
      </c>
      <c r="O194" t="str">
        <f t="shared" si="19"/>
        <v>Defeat all when they have no buffs on them</v>
      </c>
    </row>
    <row r="195" spans="1:15" x14ac:dyDescent="0.3">
      <c r="A195" t="s">
        <v>172</v>
      </c>
      <c r="B195" t="str">
        <f t="shared" si="20"/>
        <v>OR</v>
      </c>
      <c r="C195">
        <f t="shared" si="16"/>
        <v>15</v>
      </c>
      <c r="D195" t="b">
        <f t="shared" si="17"/>
        <v>1</v>
      </c>
      <c r="G195" t="str">
        <v xml:space="preserve">Stage 14 Clear  in 150 turns </v>
      </c>
      <c r="H195" t="str">
        <v>OT</v>
      </c>
      <c r="I195">
        <v>14</v>
      </c>
      <c r="J195" t="b">
        <v>1</v>
      </c>
      <c r="L195" t="str">
        <f t="shared" ref="L195:L258" si="25">M195&amp;N195</f>
        <v>OT14</v>
      </c>
      <c r="M195" t="str">
        <f t="shared" si="23"/>
        <v>OT</v>
      </c>
      <c r="N195" s="32">
        <f t="shared" si="24"/>
        <v>14</v>
      </c>
      <c r="O195" t="str">
        <f t="shared" ref="O195:O258" si="26">TRIM(_xlfn.LET( _xlpm.x, FIND(" ", G195, 7),_xlpm.y,ISNUMBER(_xlpm.x), IF(_xlpm.y, MID(G195,_xlpm.x+1,99),"")))</f>
        <v>Clear in 150 turns</v>
      </c>
    </row>
    <row r="196" spans="1:15" x14ac:dyDescent="0.3">
      <c r="A196" t="s">
        <v>314</v>
      </c>
      <c r="B196" t="str">
        <f t="shared" si="20"/>
        <v>OR</v>
      </c>
      <c r="C196">
        <f t="shared" ref="C196:C259" si="27">IF(LEFT(A196,4)="Stag",INT(TRIM(MID(A196,7,2))), 0)</f>
        <v>16</v>
      </c>
      <c r="D196" t="b">
        <f t="shared" ref="D196:D259" si="28">IF(C196&lt;&gt;0, INT(C196)=C195+1, "")</f>
        <v>1</v>
      </c>
      <c r="G196" t="str">
        <v xml:space="preserve">Stage 15 Beat  with all Champions alive at all times </v>
      </c>
      <c r="H196" t="str">
        <v>OT</v>
      </c>
      <c r="I196">
        <v>15</v>
      </c>
      <c r="J196" t="b">
        <v>1</v>
      </c>
      <c r="L196" t="str">
        <f t="shared" si="25"/>
        <v>OT15</v>
      </c>
      <c r="M196" t="str">
        <f t="shared" si="23"/>
        <v>OT</v>
      </c>
      <c r="N196" s="32">
        <f t="shared" si="24"/>
        <v>15</v>
      </c>
      <c r="O196" t="str">
        <f t="shared" si="26"/>
        <v>Beat with all Champions alive at all times</v>
      </c>
    </row>
    <row r="197" spans="1:15" x14ac:dyDescent="0.3">
      <c r="A197" t="s">
        <v>261</v>
      </c>
      <c r="B197" t="str">
        <f t="shared" ref="B197:B260" si="29">IF(LEFT(A197,5)="file=",MID(A197,7,2),B196)</f>
        <v>OR</v>
      </c>
      <c r="C197">
        <f t="shared" si="27"/>
        <v>17</v>
      </c>
      <c r="D197" t="b">
        <f t="shared" si="28"/>
        <v>1</v>
      </c>
      <c r="G197" t="str">
        <v xml:space="preserve">Stage 16 Get an Extra Turn 5+ times </v>
      </c>
      <c r="H197" t="str">
        <v>OT</v>
      </c>
      <c r="I197">
        <v>16</v>
      </c>
      <c r="J197" t="b">
        <v>1</v>
      </c>
      <c r="L197" t="str">
        <f t="shared" si="25"/>
        <v>OT16</v>
      </c>
      <c r="M197" t="str">
        <f t="shared" si="23"/>
        <v>OT</v>
      </c>
      <c r="N197" s="32">
        <f t="shared" si="24"/>
        <v>16</v>
      </c>
      <c r="O197" t="str">
        <f t="shared" si="26"/>
        <v>Get an Extra Turn 5+ times</v>
      </c>
    </row>
    <row r="198" spans="1:15" x14ac:dyDescent="0.3">
      <c r="A198" t="s">
        <v>315</v>
      </c>
      <c r="B198" t="str">
        <f t="shared" si="29"/>
        <v>OR</v>
      </c>
      <c r="C198">
        <f t="shared" si="27"/>
        <v>18</v>
      </c>
      <c r="D198" t="b">
        <f t="shared" si="28"/>
        <v>1</v>
      </c>
      <c r="G198" t="str">
        <v xml:space="preserve">Stage 17 Dont land any weak hits </v>
      </c>
      <c r="H198" t="str">
        <v>OT</v>
      </c>
      <c r="I198">
        <v>17</v>
      </c>
      <c r="J198" t="b">
        <v>1</v>
      </c>
      <c r="L198" t="str">
        <f t="shared" si="25"/>
        <v>OT17</v>
      </c>
      <c r="M198" t="str">
        <f t="shared" si="23"/>
        <v>OT</v>
      </c>
      <c r="N198" s="32">
        <f t="shared" si="24"/>
        <v>17</v>
      </c>
      <c r="O198" t="str">
        <f t="shared" si="26"/>
        <v>Dont land any weak hits</v>
      </c>
    </row>
    <row r="199" spans="1:15" x14ac:dyDescent="0.3">
      <c r="A199" t="s">
        <v>350</v>
      </c>
      <c r="B199" t="str">
        <f t="shared" si="29"/>
        <v>OR</v>
      </c>
      <c r="C199">
        <f t="shared" si="27"/>
        <v>19</v>
      </c>
      <c r="D199" t="b">
        <f t="shared" si="28"/>
        <v>1</v>
      </c>
      <c r="G199" t="str">
        <v xml:space="preserve">Stage 18 Defeat 3+ while your Champions are under 7 or more buffs </v>
      </c>
      <c r="H199" t="str">
        <v>OT</v>
      </c>
      <c r="I199">
        <v>18</v>
      </c>
      <c r="J199" t="b">
        <v>1</v>
      </c>
      <c r="L199" t="str">
        <f t="shared" si="25"/>
        <v>OT18</v>
      </c>
      <c r="M199" t="str">
        <f t="shared" si="23"/>
        <v>OT</v>
      </c>
      <c r="N199" s="32">
        <f t="shared" si="24"/>
        <v>18</v>
      </c>
      <c r="O199" t="str">
        <f t="shared" si="26"/>
        <v>Defeat 3+ while your Champions are under 7 or more buffs</v>
      </c>
    </row>
    <row r="200" spans="1:15" x14ac:dyDescent="0.3">
      <c r="A200" t="s">
        <v>262</v>
      </c>
      <c r="B200" t="str">
        <f t="shared" si="29"/>
        <v>OR</v>
      </c>
      <c r="C200">
        <f t="shared" si="27"/>
        <v>20</v>
      </c>
      <c r="D200" t="b">
        <f t="shared" si="28"/>
        <v>1</v>
      </c>
      <c r="G200" t="str">
        <v xml:space="preserve">Stage 19 Defeat 3+ while theyre under 10 debuffs </v>
      </c>
      <c r="H200" t="str">
        <v>OT</v>
      </c>
      <c r="I200">
        <v>19</v>
      </c>
      <c r="J200" t="b">
        <v>1</v>
      </c>
      <c r="L200" t="str">
        <f t="shared" si="25"/>
        <v>OT19</v>
      </c>
      <c r="M200" t="str">
        <f t="shared" si="23"/>
        <v>OT</v>
      </c>
      <c r="N200" s="32">
        <f t="shared" si="24"/>
        <v>19</v>
      </c>
      <c r="O200" t="str">
        <f t="shared" si="26"/>
        <v>Defeat 3+ while theyre under 10 debuffs</v>
      </c>
    </row>
    <row r="201" spans="1:15" x14ac:dyDescent="0.3">
      <c r="A201" t="s">
        <v>157</v>
      </c>
      <c r="B201" t="str">
        <f t="shared" si="29"/>
        <v>OT</v>
      </c>
      <c r="C201">
        <f t="shared" si="27"/>
        <v>0</v>
      </c>
      <c r="D201" t="str">
        <f t="shared" si="28"/>
        <v/>
      </c>
      <c r="G201" t="str">
        <v>Stage 20 Keep all your Champions HP above 75%</v>
      </c>
      <c r="H201" t="str">
        <v>OT</v>
      </c>
      <c r="I201">
        <v>20</v>
      </c>
      <c r="J201" t="b">
        <v>1</v>
      </c>
      <c r="L201" t="str">
        <f t="shared" si="25"/>
        <v>OT20</v>
      </c>
      <c r="M201" t="str">
        <f t="shared" si="23"/>
        <v>OT</v>
      </c>
      <c r="N201" s="32">
        <f t="shared" si="24"/>
        <v>20</v>
      </c>
      <c r="O201" t="str">
        <f t="shared" si="26"/>
        <v>Keep all your Champions HP above 75%</v>
      </c>
    </row>
    <row r="202" spans="1:15" x14ac:dyDescent="0.3">
      <c r="B202" t="str">
        <f t="shared" si="29"/>
        <v>OT</v>
      </c>
      <c r="C202">
        <f t="shared" si="27"/>
        <v>0</v>
      </c>
      <c r="D202" t="str">
        <f t="shared" si="28"/>
        <v/>
      </c>
      <c r="G202" t="str">
        <v xml:space="preserve">Stage 1 Place 10+ Stun debuffs </v>
      </c>
      <c r="H202" t="str">
        <v>SK</v>
      </c>
      <c r="I202">
        <v>1</v>
      </c>
      <c r="J202" t="b">
        <v>1</v>
      </c>
      <c r="L202" t="str">
        <f t="shared" si="25"/>
        <v>SK1</v>
      </c>
      <c r="M202" t="str">
        <f t="shared" si="23"/>
        <v>SK</v>
      </c>
      <c r="N202" s="32">
        <f t="shared" si="24"/>
        <v>1</v>
      </c>
      <c r="O202" t="str">
        <f t="shared" si="26"/>
        <v>Place 10+ Stun debuffs</v>
      </c>
    </row>
    <row r="203" spans="1:15" x14ac:dyDescent="0.3">
      <c r="A203" t="s">
        <v>174</v>
      </c>
      <c r="B203" t="str">
        <f t="shared" si="29"/>
        <v>OT</v>
      </c>
      <c r="C203">
        <f t="shared" si="27"/>
        <v>1</v>
      </c>
      <c r="D203" t="b">
        <f t="shared" si="28"/>
        <v>1</v>
      </c>
      <c r="G203" t="str">
        <v xml:space="preserve">Stage 2 Place 10+ Provoke debuffs </v>
      </c>
      <c r="H203" t="str">
        <v>SK</v>
      </c>
      <c r="I203">
        <v>2</v>
      </c>
      <c r="J203" t="b">
        <v>1</v>
      </c>
      <c r="L203" t="str">
        <f t="shared" si="25"/>
        <v>SK2</v>
      </c>
      <c r="M203" t="str">
        <f t="shared" si="23"/>
        <v>SK</v>
      </c>
      <c r="N203" s="32">
        <f t="shared" si="24"/>
        <v>2</v>
      </c>
      <c r="O203" t="str">
        <f t="shared" si="26"/>
        <v>Place 10+ Provoke debuffs</v>
      </c>
    </row>
    <row r="204" spans="1:15" x14ac:dyDescent="0.3">
      <c r="A204" t="s">
        <v>197</v>
      </c>
      <c r="B204" t="str">
        <f t="shared" si="29"/>
        <v>OT</v>
      </c>
      <c r="C204">
        <f t="shared" si="27"/>
        <v>2</v>
      </c>
      <c r="D204" t="b">
        <f t="shared" si="28"/>
        <v>1</v>
      </c>
      <c r="G204" t="str">
        <v xml:space="preserve">Stage 3 Place 10+ HP Burn debuffs </v>
      </c>
      <c r="H204" t="str">
        <v>SK</v>
      </c>
      <c r="I204">
        <v>3</v>
      </c>
      <c r="J204" t="b">
        <v>1</v>
      </c>
      <c r="L204" t="str">
        <f t="shared" si="25"/>
        <v>SK3</v>
      </c>
      <c r="M204" t="str">
        <f t="shared" si="23"/>
        <v>SK</v>
      </c>
      <c r="N204" s="32">
        <f t="shared" si="24"/>
        <v>3</v>
      </c>
      <c r="O204" t="str">
        <f t="shared" si="26"/>
        <v>Place 10+ HP Burn debuffs</v>
      </c>
    </row>
    <row r="205" spans="1:15" x14ac:dyDescent="0.3">
      <c r="A205" t="s">
        <v>176</v>
      </c>
      <c r="B205" t="str">
        <f t="shared" si="29"/>
        <v>OT</v>
      </c>
      <c r="C205">
        <f t="shared" si="27"/>
        <v>3</v>
      </c>
      <c r="D205" t="b">
        <f t="shared" si="28"/>
        <v>1</v>
      </c>
      <c r="G205" t="str">
        <v xml:space="preserve">Stage 4 Manipulate skill cooldowns 10+ times </v>
      </c>
      <c r="H205" t="str">
        <v>SK</v>
      </c>
      <c r="I205">
        <v>4</v>
      </c>
      <c r="J205" t="b">
        <v>1</v>
      </c>
      <c r="L205" t="str">
        <f t="shared" si="25"/>
        <v>SK4</v>
      </c>
      <c r="M205" t="str">
        <f t="shared" si="23"/>
        <v>SK</v>
      </c>
      <c r="N205" s="32">
        <f t="shared" si="24"/>
        <v>4</v>
      </c>
      <c r="O205" t="str">
        <f t="shared" si="26"/>
        <v>Manipulate skill cooldowns 10+ times</v>
      </c>
    </row>
    <row r="206" spans="1:15" x14ac:dyDescent="0.3">
      <c r="A206" t="s">
        <v>166</v>
      </c>
      <c r="B206" t="str">
        <f t="shared" si="29"/>
        <v>OT</v>
      </c>
      <c r="C206">
        <f t="shared" si="27"/>
        <v>4</v>
      </c>
      <c r="D206" t="b">
        <f t="shared" si="28"/>
        <v>1</v>
      </c>
      <c r="G206" t="str">
        <v xml:space="preserve">Stage 5 Land 40+ hits on while they are under Leech debuffs </v>
      </c>
      <c r="H206" t="str">
        <v>SK</v>
      </c>
      <c r="I206">
        <v>5</v>
      </c>
      <c r="J206" t="b">
        <v>1</v>
      </c>
      <c r="L206" t="str">
        <f t="shared" si="25"/>
        <v>SK5</v>
      </c>
      <c r="M206" t="str">
        <f t="shared" si="23"/>
        <v>SK</v>
      </c>
      <c r="N206" s="32">
        <f t="shared" si="24"/>
        <v>5</v>
      </c>
      <c r="O206" t="str">
        <f t="shared" si="26"/>
        <v>Land 40+ hits on while they are under Leech debuffs</v>
      </c>
    </row>
    <row r="207" spans="1:15" x14ac:dyDescent="0.3">
      <c r="A207" t="s">
        <v>316</v>
      </c>
      <c r="B207" t="str">
        <f t="shared" si="29"/>
        <v>OT</v>
      </c>
      <c r="C207">
        <f t="shared" si="27"/>
        <v>5</v>
      </c>
      <c r="D207" t="b">
        <f t="shared" si="28"/>
        <v>1</v>
      </c>
      <c r="G207" t="str">
        <v xml:space="preserve">Stage 6 Manipulate Turn Meters 40+ times </v>
      </c>
      <c r="H207" t="str">
        <v>SK</v>
      </c>
      <c r="I207">
        <v>6</v>
      </c>
      <c r="J207" t="b">
        <v>1</v>
      </c>
      <c r="L207" t="str">
        <f t="shared" si="25"/>
        <v>SK6</v>
      </c>
      <c r="M207" t="str">
        <f t="shared" si="23"/>
        <v>SK</v>
      </c>
      <c r="N207" s="32">
        <f t="shared" si="24"/>
        <v>6</v>
      </c>
      <c r="O207" t="str">
        <f t="shared" si="26"/>
        <v>Manipulate Turn Meters 40+ times</v>
      </c>
    </row>
    <row r="208" spans="1:15" x14ac:dyDescent="0.3">
      <c r="A208" t="s">
        <v>178</v>
      </c>
      <c r="B208" t="str">
        <f t="shared" si="29"/>
        <v>OT</v>
      </c>
      <c r="C208">
        <f t="shared" si="27"/>
        <v>6</v>
      </c>
      <c r="D208" t="b">
        <f t="shared" si="28"/>
        <v>1</v>
      </c>
      <c r="G208" t="str">
        <v xml:space="preserve">Stage 7 Clear  in 100 turns </v>
      </c>
      <c r="H208" t="str">
        <v>SK</v>
      </c>
      <c r="I208">
        <v>7</v>
      </c>
      <c r="J208" t="b">
        <v>1</v>
      </c>
      <c r="L208" t="str">
        <f t="shared" si="25"/>
        <v>SK7</v>
      </c>
      <c r="M208" t="str">
        <f t="shared" si="23"/>
        <v>SK</v>
      </c>
      <c r="N208" s="32">
        <f t="shared" si="24"/>
        <v>7</v>
      </c>
      <c r="O208" t="str">
        <f t="shared" si="26"/>
        <v>Clear in 100 turns</v>
      </c>
    </row>
    <row r="209" spans="1:15" x14ac:dyDescent="0.3">
      <c r="A209" t="s">
        <v>167</v>
      </c>
      <c r="B209" t="str">
        <f t="shared" si="29"/>
        <v>OT</v>
      </c>
      <c r="C209">
        <f t="shared" si="27"/>
        <v>7</v>
      </c>
      <c r="D209" t="b">
        <f t="shared" si="28"/>
        <v>1</v>
      </c>
      <c r="G209" t="str">
        <v xml:space="preserve">Stage 8 Place 15+ Stun debuffs </v>
      </c>
      <c r="H209" t="str">
        <v>SK</v>
      </c>
      <c r="I209">
        <v>8</v>
      </c>
      <c r="J209" t="b">
        <v>1</v>
      </c>
      <c r="L209" t="str">
        <f t="shared" si="25"/>
        <v>SK8</v>
      </c>
      <c r="M209" t="str">
        <f t="shared" si="23"/>
        <v>SK</v>
      </c>
      <c r="N209" s="32">
        <f t="shared" si="24"/>
        <v>8</v>
      </c>
      <c r="O209" t="str">
        <f t="shared" si="26"/>
        <v>Place 15+ Stun debuffs</v>
      </c>
    </row>
    <row r="210" spans="1:15" x14ac:dyDescent="0.3">
      <c r="A210" t="s">
        <v>200</v>
      </c>
      <c r="B210" t="str">
        <f t="shared" si="29"/>
        <v>OT</v>
      </c>
      <c r="C210">
        <f t="shared" si="27"/>
        <v>8</v>
      </c>
      <c r="D210" t="b">
        <f t="shared" si="28"/>
        <v>1</v>
      </c>
      <c r="G210" t="str">
        <v xml:space="preserve">Stage 9 Place 15+ Provoke debuffs </v>
      </c>
      <c r="H210" t="str">
        <v>SK</v>
      </c>
      <c r="I210">
        <v>9</v>
      </c>
      <c r="J210" t="b">
        <v>1</v>
      </c>
      <c r="L210" t="str">
        <f t="shared" si="25"/>
        <v>SK9</v>
      </c>
      <c r="M210" t="str">
        <f t="shared" si="23"/>
        <v>SK</v>
      </c>
      <c r="N210" s="32">
        <f t="shared" si="24"/>
        <v>9</v>
      </c>
      <c r="O210" t="str">
        <f t="shared" si="26"/>
        <v>Place 15+ Provoke debuffs</v>
      </c>
    </row>
    <row r="211" spans="1:15" x14ac:dyDescent="0.3">
      <c r="A211" t="s">
        <v>168</v>
      </c>
      <c r="B211" t="str">
        <f t="shared" si="29"/>
        <v>OT</v>
      </c>
      <c r="C211">
        <f t="shared" si="27"/>
        <v>9</v>
      </c>
      <c r="D211" t="b">
        <f t="shared" si="28"/>
        <v>1</v>
      </c>
      <c r="G211" t="str">
        <v xml:space="preserve">Stage 10 Use at least 3 Epic Champions </v>
      </c>
      <c r="H211" t="str">
        <v>SK</v>
      </c>
      <c r="I211">
        <v>10</v>
      </c>
      <c r="J211" t="b">
        <v>1</v>
      </c>
      <c r="L211" t="str">
        <f t="shared" si="25"/>
        <v>SK10</v>
      </c>
      <c r="M211" t="str">
        <f t="shared" si="23"/>
        <v>SK</v>
      </c>
      <c r="N211" s="32">
        <f t="shared" si="24"/>
        <v>10</v>
      </c>
      <c r="O211" t="str">
        <f t="shared" si="26"/>
        <v>Use at least 3 Epic Champions</v>
      </c>
    </row>
    <row r="212" spans="1:15" x14ac:dyDescent="0.3">
      <c r="A212" t="s">
        <v>169</v>
      </c>
      <c r="B212" t="str">
        <f t="shared" si="29"/>
        <v>OT</v>
      </c>
      <c r="C212">
        <f t="shared" si="27"/>
        <v>10</v>
      </c>
      <c r="D212" t="b">
        <f t="shared" si="28"/>
        <v>1</v>
      </c>
      <c r="G212" t="str">
        <v xml:space="preserve">Stage 11 Land 60+ hits on while they are under Leech debuffs </v>
      </c>
      <c r="H212" t="str">
        <v>SK</v>
      </c>
      <c r="I212">
        <v>11</v>
      </c>
      <c r="J212" t="b">
        <v>1</v>
      </c>
      <c r="L212" t="str">
        <f t="shared" si="25"/>
        <v>SK11</v>
      </c>
      <c r="M212" t="str">
        <f t="shared" si="23"/>
        <v>SK</v>
      </c>
      <c r="N212" s="32">
        <f t="shared" si="24"/>
        <v>11</v>
      </c>
      <c r="O212" t="str">
        <f t="shared" si="26"/>
        <v>Land 60+ hits on while they are under Leech debuffs</v>
      </c>
    </row>
    <row r="213" spans="1:15" x14ac:dyDescent="0.3">
      <c r="A213" t="s">
        <v>317</v>
      </c>
      <c r="B213" t="str">
        <f t="shared" si="29"/>
        <v>OT</v>
      </c>
      <c r="C213">
        <f t="shared" si="27"/>
        <v>11</v>
      </c>
      <c r="D213" t="b">
        <f t="shared" si="28"/>
        <v>1</v>
      </c>
      <c r="G213" t="str">
        <v xml:space="preserve">Stage 12 Manipulate skill cooldowns 15+ times </v>
      </c>
      <c r="H213" t="str">
        <v>SK</v>
      </c>
      <c r="I213">
        <v>12</v>
      </c>
      <c r="J213" t="b">
        <v>1</v>
      </c>
      <c r="L213" t="str">
        <f t="shared" si="25"/>
        <v>SK12</v>
      </c>
      <c r="M213" t="str">
        <f t="shared" si="23"/>
        <v>SK</v>
      </c>
      <c r="N213" s="32">
        <f t="shared" si="24"/>
        <v>12</v>
      </c>
      <c r="O213" t="str">
        <f t="shared" si="26"/>
        <v>Manipulate skill cooldowns 15+ times</v>
      </c>
    </row>
    <row r="214" spans="1:15" x14ac:dyDescent="0.3">
      <c r="A214" t="s">
        <v>218</v>
      </c>
      <c r="B214" t="str">
        <f t="shared" si="29"/>
        <v>OT</v>
      </c>
      <c r="C214">
        <f t="shared" si="27"/>
        <v>12</v>
      </c>
      <c r="D214" t="b">
        <f t="shared" si="28"/>
        <v>1</v>
      </c>
      <c r="G214" t="str">
        <v xml:space="preserve">Stage 13 Defeat all when they have no buffs on them </v>
      </c>
      <c r="H214" t="str">
        <v>SK</v>
      </c>
      <c r="I214">
        <v>13</v>
      </c>
      <c r="J214" t="b">
        <v>1</v>
      </c>
      <c r="L214" t="str">
        <f t="shared" si="25"/>
        <v>SK13</v>
      </c>
      <c r="M214" t="str">
        <f t="shared" si="23"/>
        <v>SK</v>
      </c>
      <c r="N214" s="32">
        <f t="shared" si="24"/>
        <v>13</v>
      </c>
      <c r="O214" t="str">
        <f t="shared" si="26"/>
        <v>Defeat all when they have no buffs on them</v>
      </c>
    </row>
    <row r="215" spans="1:15" x14ac:dyDescent="0.3">
      <c r="A215" t="s">
        <v>318</v>
      </c>
      <c r="B215" t="str">
        <f t="shared" si="29"/>
        <v>OT</v>
      </c>
      <c r="C215">
        <f t="shared" si="27"/>
        <v>13</v>
      </c>
      <c r="D215" t="b">
        <f t="shared" si="28"/>
        <v>1</v>
      </c>
      <c r="G215" t="str">
        <v xml:space="preserve">Stage 14 Clear  in 150 turns </v>
      </c>
      <c r="H215" t="str">
        <v>SK</v>
      </c>
      <c r="I215">
        <v>14</v>
      </c>
      <c r="J215" t="b">
        <v>1</v>
      </c>
      <c r="L215" t="str">
        <f t="shared" si="25"/>
        <v>SK14</v>
      </c>
      <c r="M215" t="str">
        <f t="shared" si="23"/>
        <v>SK</v>
      </c>
      <c r="N215" s="32">
        <f t="shared" si="24"/>
        <v>14</v>
      </c>
      <c r="O215" t="str">
        <f t="shared" si="26"/>
        <v>Clear in 150 turns</v>
      </c>
    </row>
    <row r="216" spans="1:15" x14ac:dyDescent="0.3">
      <c r="A216" t="s">
        <v>195</v>
      </c>
      <c r="B216" t="str">
        <f t="shared" si="29"/>
        <v>OT</v>
      </c>
      <c r="C216">
        <f t="shared" si="27"/>
        <v>14</v>
      </c>
      <c r="D216" t="b">
        <f t="shared" si="28"/>
        <v>1</v>
      </c>
      <c r="G216" t="str">
        <v xml:space="preserve">Stage 15 Beat  with all Champions alive at all times </v>
      </c>
      <c r="H216" t="str">
        <v>SK</v>
      </c>
      <c r="I216">
        <v>15</v>
      </c>
      <c r="J216" t="b">
        <v>1</v>
      </c>
      <c r="L216" t="str">
        <f t="shared" si="25"/>
        <v>SK15</v>
      </c>
      <c r="M216" t="str">
        <f t="shared" si="23"/>
        <v>SK</v>
      </c>
      <c r="N216" s="32">
        <f t="shared" si="24"/>
        <v>15</v>
      </c>
      <c r="O216" t="str">
        <f t="shared" si="26"/>
        <v>Beat with all Champions alive at all times</v>
      </c>
    </row>
    <row r="217" spans="1:15" x14ac:dyDescent="0.3">
      <c r="A217" t="s">
        <v>172</v>
      </c>
      <c r="B217" t="str">
        <f t="shared" si="29"/>
        <v>OT</v>
      </c>
      <c r="C217">
        <f t="shared" si="27"/>
        <v>15</v>
      </c>
      <c r="D217" t="b">
        <f t="shared" si="28"/>
        <v>1</v>
      </c>
      <c r="G217" t="str">
        <v xml:space="preserve">Stage 16 Defeat 10+ while your Champions are under Perfect Veil </v>
      </c>
      <c r="H217" t="str">
        <v>SK</v>
      </c>
      <c r="I217">
        <v>16</v>
      </c>
      <c r="J217" t="b">
        <v>1</v>
      </c>
      <c r="L217" t="str">
        <f t="shared" si="25"/>
        <v>SK16</v>
      </c>
      <c r="M217" t="str">
        <f t="shared" si="23"/>
        <v>SK</v>
      </c>
      <c r="N217" s="32">
        <f t="shared" si="24"/>
        <v>16</v>
      </c>
      <c r="O217" t="str">
        <f t="shared" si="26"/>
        <v>Defeat 10+ while your Champions are under Perfect Veil</v>
      </c>
    </row>
    <row r="218" spans="1:15" x14ac:dyDescent="0.3">
      <c r="A218" t="s">
        <v>196</v>
      </c>
      <c r="B218" t="str">
        <f t="shared" si="29"/>
        <v>OT</v>
      </c>
      <c r="C218">
        <f t="shared" si="27"/>
        <v>16</v>
      </c>
      <c r="D218" t="b">
        <f t="shared" si="28"/>
        <v>1</v>
      </c>
      <c r="G218" t="str">
        <v xml:space="preserve">Stage 17 Dont land any weak hits </v>
      </c>
      <c r="H218" t="str">
        <v>SK</v>
      </c>
      <c r="I218">
        <v>17</v>
      </c>
      <c r="J218" t="b">
        <v>1</v>
      </c>
      <c r="L218" t="str">
        <f t="shared" si="25"/>
        <v>SK17</v>
      </c>
      <c r="M218" t="str">
        <f t="shared" si="23"/>
        <v>SK</v>
      </c>
      <c r="N218" s="32">
        <f t="shared" si="24"/>
        <v>17</v>
      </c>
      <c r="O218" t="str">
        <f t="shared" si="26"/>
        <v>Dont land any weak hits</v>
      </c>
    </row>
    <row r="219" spans="1:15" x14ac:dyDescent="0.3">
      <c r="A219" t="s">
        <v>261</v>
      </c>
      <c r="B219" t="str">
        <f t="shared" si="29"/>
        <v>OT</v>
      </c>
      <c r="C219">
        <f t="shared" si="27"/>
        <v>17</v>
      </c>
      <c r="D219" t="b">
        <f t="shared" si="28"/>
        <v>1</v>
      </c>
      <c r="G219" t="str">
        <v xml:space="preserve">Stage 18 Defeat 4+ before they take a turn </v>
      </c>
      <c r="H219" t="str">
        <v>SK</v>
      </c>
      <c r="I219">
        <v>18</v>
      </c>
      <c r="J219" t="b">
        <v>1</v>
      </c>
      <c r="L219" t="str">
        <f t="shared" si="25"/>
        <v>SK18</v>
      </c>
      <c r="M219" t="str">
        <f t="shared" si="23"/>
        <v>SK</v>
      </c>
      <c r="N219" s="32">
        <f t="shared" si="24"/>
        <v>18</v>
      </c>
      <c r="O219" t="str">
        <f t="shared" si="26"/>
        <v>Defeat 4+ before they take a turn</v>
      </c>
    </row>
    <row r="220" spans="1:15" x14ac:dyDescent="0.3">
      <c r="A220" t="s">
        <v>315</v>
      </c>
      <c r="B220" t="str">
        <f t="shared" si="29"/>
        <v>OT</v>
      </c>
      <c r="C220">
        <f t="shared" si="27"/>
        <v>18</v>
      </c>
      <c r="D220" t="b">
        <f t="shared" si="28"/>
        <v>1</v>
      </c>
      <c r="G220" t="str">
        <v xml:space="preserve">Stage 19 Defeat 3+ while theyre under 10 debuffs </v>
      </c>
      <c r="H220" t="str">
        <v>SK</v>
      </c>
      <c r="I220">
        <v>19</v>
      </c>
      <c r="J220" t="b">
        <v>1</v>
      </c>
      <c r="L220" t="str">
        <f t="shared" si="25"/>
        <v>SK19</v>
      </c>
      <c r="M220" t="str">
        <f t="shared" si="23"/>
        <v>SK</v>
      </c>
      <c r="N220" s="32">
        <f t="shared" si="24"/>
        <v>19</v>
      </c>
      <c r="O220" t="str">
        <f t="shared" si="26"/>
        <v>Defeat 3+ while theyre under 10 debuffs</v>
      </c>
    </row>
    <row r="221" spans="1:15" x14ac:dyDescent="0.3">
      <c r="A221" t="s">
        <v>297</v>
      </c>
      <c r="B221" t="str">
        <f t="shared" si="29"/>
        <v>OT</v>
      </c>
      <c r="C221">
        <f t="shared" si="27"/>
        <v>19</v>
      </c>
      <c r="D221" t="b">
        <f t="shared" si="28"/>
        <v>1</v>
      </c>
      <c r="G221" t="str">
        <v>Stage 20 Dont let enemies use any active skills</v>
      </c>
      <c r="H221" t="str">
        <v>SK</v>
      </c>
      <c r="I221">
        <v>20</v>
      </c>
      <c r="J221" t="b">
        <v>1</v>
      </c>
      <c r="L221" t="str">
        <f t="shared" si="25"/>
        <v>SK20</v>
      </c>
      <c r="M221" t="str">
        <f t="shared" si="23"/>
        <v>SK</v>
      </c>
      <c r="N221" s="32">
        <f t="shared" si="24"/>
        <v>20</v>
      </c>
      <c r="O221" t="str">
        <f t="shared" si="26"/>
        <v>Dont let enemies use any active skills</v>
      </c>
    </row>
    <row r="222" spans="1:15" x14ac:dyDescent="0.3">
      <c r="A222" t="s">
        <v>262</v>
      </c>
      <c r="B222" t="str">
        <f t="shared" si="29"/>
        <v>OT</v>
      </c>
      <c r="C222">
        <f t="shared" si="27"/>
        <v>20</v>
      </c>
      <c r="D222" t="b">
        <f t="shared" si="28"/>
        <v>1</v>
      </c>
      <c r="G222" t="str">
        <v xml:space="preserve">Stage 1 Place 10+ Provoke debuffs </v>
      </c>
      <c r="H222" t="str">
        <v>SO</v>
      </c>
      <c r="I222">
        <v>1</v>
      </c>
      <c r="J222" t="b">
        <v>1</v>
      </c>
      <c r="L222" t="str">
        <f t="shared" si="25"/>
        <v>SO1</v>
      </c>
      <c r="M222" t="str">
        <f t="shared" si="23"/>
        <v>SO</v>
      </c>
      <c r="N222" s="32">
        <f t="shared" si="24"/>
        <v>1</v>
      </c>
      <c r="O222" t="str">
        <f t="shared" si="26"/>
        <v>Place 10+ Provoke debuffs</v>
      </c>
    </row>
    <row r="223" spans="1:15" x14ac:dyDescent="0.3">
      <c r="A223" t="s">
        <v>158</v>
      </c>
      <c r="B223" t="str">
        <f t="shared" si="29"/>
        <v>SK</v>
      </c>
      <c r="C223">
        <f t="shared" si="27"/>
        <v>0</v>
      </c>
      <c r="D223" t="str">
        <f t="shared" si="28"/>
        <v/>
      </c>
      <c r="G223" t="str">
        <v xml:space="preserve">Stage 2 Place 20+ Poison debuffs </v>
      </c>
      <c r="H223" t="str">
        <v>SO</v>
      </c>
      <c r="I223">
        <v>2</v>
      </c>
      <c r="J223" t="b">
        <v>1</v>
      </c>
      <c r="L223" t="str">
        <f t="shared" si="25"/>
        <v>SO2</v>
      </c>
      <c r="M223" t="str">
        <f t="shared" si="23"/>
        <v>SO</v>
      </c>
      <c r="N223" s="32">
        <f t="shared" si="24"/>
        <v>2</v>
      </c>
      <c r="O223" t="str">
        <f t="shared" si="26"/>
        <v>Place 20+ Poison debuffs</v>
      </c>
    </row>
    <row r="224" spans="1:15" x14ac:dyDescent="0.3">
      <c r="B224" t="str">
        <f t="shared" si="29"/>
        <v>SK</v>
      </c>
      <c r="C224">
        <f t="shared" si="27"/>
        <v>0</v>
      </c>
      <c r="D224" t="str">
        <f t="shared" si="28"/>
        <v/>
      </c>
      <c r="G224" t="str">
        <v xml:space="preserve">Stage 3 Place 10+ Stun debuffs </v>
      </c>
      <c r="H224" t="str">
        <v>SO</v>
      </c>
      <c r="I224">
        <v>3</v>
      </c>
      <c r="J224" t="b">
        <v>1</v>
      </c>
      <c r="L224" t="str">
        <f t="shared" si="25"/>
        <v>SO3</v>
      </c>
      <c r="M224" t="str">
        <f t="shared" si="23"/>
        <v>SO</v>
      </c>
      <c r="N224" s="32">
        <f t="shared" si="24"/>
        <v>3</v>
      </c>
      <c r="O224" t="str">
        <f t="shared" si="26"/>
        <v>Place 10+ Stun debuffs</v>
      </c>
    </row>
    <row r="225" spans="1:15" x14ac:dyDescent="0.3">
      <c r="A225" t="s">
        <v>207</v>
      </c>
      <c r="B225" t="str">
        <f t="shared" si="29"/>
        <v>SK</v>
      </c>
      <c r="C225">
        <f t="shared" si="27"/>
        <v>1</v>
      </c>
      <c r="D225" t="b">
        <f t="shared" si="28"/>
        <v>1</v>
      </c>
      <c r="G225" t="str">
        <v xml:space="preserve">Stage 4 Reduce 6+ HP by 50% with one skill </v>
      </c>
      <c r="H225" t="str">
        <v>SO</v>
      </c>
      <c r="I225">
        <v>4</v>
      </c>
      <c r="J225" t="b">
        <v>1</v>
      </c>
      <c r="L225" t="str">
        <f t="shared" si="25"/>
        <v>SO4</v>
      </c>
      <c r="M225" t="str">
        <f t="shared" si="23"/>
        <v>SO</v>
      </c>
      <c r="N225" s="32">
        <f t="shared" si="24"/>
        <v>4</v>
      </c>
      <c r="O225" t="str">
        <f t="shared" si="26"/>
        <v>Reduce 6+ HP by 50% with one skill</v>
      </c>
    </row>
    <row r="226" spans="1:15" x14ac:dyDescent="0.3">
      <c r="A226" t="s">
        <v>164</v>
      </c>
      <c r="B226" t="str">
        <f t="shared" si="29"/>
        <v>SK</v>
      </c>
      <c r="C226">
        <f t="shared" si="27"/>
        <v>2</v>
      </c>
      <c r="D226" t="b">
        <f t="shared" si="28"/>
        <v>1</v>
      </c>
      <c r="G226" t="str">
        <v xml:space="preserve">Stage 5 Place 10+ HP Burn debuffs </v>
      </c>
      <c r="H226" t="str">
        <v>SO</v>
      </c>
      <c r="I226">
        <v>5</v>
      </c>
      <c r="J226" t="b">
        <v>1</v>
      </c>
      <c r="L226" t="str">
        <f t="shared" si="25"/>
        <v>SO5</v>
      </c>
      <c r="M226" t="str">
        <f t="shared" si="23"/>
        <v>SO</v>
      </c>
      <c r="N226" s="32">
        <f t="shared" si="24"/>
        <v>5</v>
      </c>
      <c r="O226" t="str">
        <f t="shared" si="26"/>
        <v>Place 10+ HP Burn debuffs</v>
      </c>
    </row>
    <row r="227" spans="1:15" x14ac:dyDescent="0.3">
      <c r="A227" t="s">
        <v>219</v>
      </c>
      <c r="B227" t="str">
        <f t="shared" si="29"/>
        <v>SK</v>
      </c>
      <c r="C227">
        <f t="shared" si="27"/>
        <v>3</v>
      </c>
      <c r="D227" t="b">
        <f t="shared" si="28"/>
        <v>1</v>
      </c>
      <c r="G227" t="str">
        <v xml:space="preserve">Stage 6 Manipulate Turn Meters 40+ times </v>
      </c>
      <c r="H227" t="str">
        <v>SO</v>
      </c>
      <c r="I227">
        <v>6</v>
      </c>
      <c r="J227" t="b">
        <v>1</v>
      </c>
      <c r="L227" t="str">
        <f t="shared" si="25"/>
        <v>SO6</v>
      </c>
      <c r="M227" t="str">
        <f t="shared" si="23"/>
        <v>SO</v>
      </c>
      <c r="N227" s="32">
        <f t="shared" si="24"/>
        <v>6</v>
      </c>
      <c r="O227" t="str">
        <f t="shared" si="26"/>
        <v>Manipulate Turn Meters 40+ times</v>
      </c>
    </row>
    <row r="228" spans="1:15" x14ac:dyDescent="0.3">
      <c r="A228" t="s">
        <v>215</v>
      </c>
      <c r="B228" t="str">
        <f t="shared" si="29"/>
        <v>SK</v>
      </c>
      <c r="C228">
        <f t="shared" si="27"/>
        <v>4</v>
      </c>
      <c r="D228" t="b">
        <f t="shared" si="28"/>
        <v>1</v>
      </c>
      <c r="G228" t="str">
        <v xml:space="preserve">Stage 7 Clear  in 100 turns </v>
      </c>
      <c r="H228" t="str">
        <v>SO</v>
      </c>
      <c r="I228">
        <v>7</v>
      </c>
      <c r="J228" t="b">
        <v>1</v>
      </c>
      <c r="L228" t="str">
        <f t="shared" si="25"/>
        <v>SO7</v>
      </c>
      <c r="M228" t="str">
        <f t="shared" si="23"/>
        <v>SO</v>
      </c>
      <c r="N228" s="32">
        <f t="shared" si="24"/>
        <v>7</v>
      </c>
      <c r="O228" t="str">
        <f t="shared" si="26"/>
        <v>Clear in 100 turns</v>
      </c>
    </row>
    <row r="229" spans="1:15" x14ac:dyDescent="0.3">
      <c r="A229" t="s">
        <v>289</v>
      </c>
      <c r="B229" t="str">
        <f t="shared" si="29"/>
        <v>SK</v>
      </c>
      <c r="C229">
        <f t="shared" si="27"/>
        <v>5</v>
      </c>
      <c r="D229" t="b">
        <f t="shared" si="28"/>
        <v>1</v>
      </c>
      <c r="G229" t="str">
        <v xml:space="preserve">Stage 8 Place 15+ Provoke debuffs </v>
      </c>
      <c r="H229" t="str">
        <v>SO</v>
      </c>
      <c r="I229">
        <v>8</v>
      </c>
      <c r="J229" t="b">
        <v>1</v>
      </c>
      <c r="L229" t="str">
        <f t="shared" si="25"/>
        <v>SO8</v>
      </c>
      <c r="M229" t="str">
        <f t="shared" si="23"/>
        <v>SO</v>
      </c>
      <c r="N229" s="32">
        <f t="shared" si="24"/>
        <v>8</v>
      </c>
      <c r="O229" t="str">
        <f t="shared" si="26"/>
        <v>Place 15+ Provoke debuffs</v>
      </c>
    </row>
    <row r="230" spans="1:15" x14ac:dyDescent="0.3">
      <c r="A230" t="s">
        <v>178</v>
      </c>
      <c r="B230" t="str">
        <f t="shared" si="29"/>
        <v>SK</v>
      </c>
      <c r="C230">
        <f t="shared" si="27"/>
        <v>6</v>
      </c>
      <c r="D230" t="b">
        <f t="shared" si="28"/>
        <v>1</v>
      </c>
      <c r="G230" t="str">
        <v xml:space="preserve">Stage 9 Defeat 3+ using Ally Attack skills or counterattacks </v>
      </c>
      <c r="H230" t="str">
        <v>SO</v>
      </c>
      <c r="I230">
        <v>9</v>
      </c>
      <c r="J230" t="b">
        <v>1</v>
      </c>
      <c r="L230" t="str">
        <f t="shared" si="25"/>
        <v>SO9</v>
      </c>
      <c r="M230" t="str">
        <f t="shared" si="23"/>
        <v>SO</v>
      </c>
      <c r="N230" s="32">
        <f t="shared" si="24"/>
        <v>9</v>
      </c>
      <c r="O230" t="str">
        <f t="shared" si="26"/>
        <v>Defeat 3+ using Ally Attack skills or counterattacks</v>
      </c>
    </row>
    <row r="231" spans="1:15" x14ac:dyDescent="0.3">
      <c r="A231" t="s">
        <v>167</v>
      </c>
      <c r="B231" t="str">
        <f t="shared" si="29"/>
        <v>SK</v>
      </c>
      <c r="C231">
        <f t="shared" si="27"/>
        <v>7</v>
      </c>
      <c r="D231" t="b">
        <f t="shared" si="28"/>
        <v>1</v>
      </c>
      <c r="G231" t="str">
        <v xml:space="preserve">Stage 10 Use at least 3 Epic Champions </v>
      </c>
      <c r="H231" t="str">
        <v>SO</v>
      </c>
      <c r="I231">
        <v>10</v>
      </c>
      <c r="J231" t="b">
        <v>1</v>
      </c>
      <c r="L231" t="str">
        <f t="shared" si="25"/>
        <v>SO10</v>
      </c>
      <c r="M231" t="str">
        <f t="shared" si="23"/>
        <v>SO</v>
      </c>
      <c r="N231" s="32">
        <f t="shared" si="24"/>
        <v>10</v>
      </c>
      <c r="O231" t="str">
        <f t="shared" si="26"/>
        <v>Use at least 3 Epic Champions</v>
      </c>
    </row>
    <row r="232" spans="1:15" x14ac:dyDescent="0.3">
      <c r="A232" t="s">
        <v>200</v>
      </c>
      <c r="B232" t="str">
        <f t="shared" si="29"/>
        <v>SK</v>
      </c>
      <c r="C232">
        <f t="shared" si="27"/>
        <v>8</v>
      </c>
      <c r="D232" t="b">
        <f t="shared" si="28"/>
        <v>1</v>
      </c>
      <c r="G232" t="str">
        <v xml:space="preserve">Stage 11 Reduce 9+ HP by 50% with one skill </v>
      </c>
      <c r="H232" t="str">
        <v>SO</v>
      </c>
      <c r="I232">
        <v>11</v>
      </c>
      <c r="J232" t="b">
        <v>1</v>
      </c>
      <c r="L232" t="str">
        <f t="shared" si="25"/>
        <v>SO11</v>
      </c>
      <c r="M232" t="str">
        <f t="shared" si="23"/>
        <v>SO</v>
      </c>
      <c r="N232" s="32">
        <f t="shared" si="24"/>
        <v>11</v>
      </c>
      <c r="O232" t="str">
        <f t="shared" si="26"/>
        <v>Reduce 9+ HP by 50% with one skill</v>
      </c>
    </row>
    <row r="233" spans="1:15" x14ac:dyDescent="0.3">
      <c r="A233" t="s">
        <v>168</v>
      </c>
      <c r="B233" t="str">
        <f t="shared" si="29"/>
        <v>SK</v>
      </c>
      <c r="C233">
        <f t="shared" si="27"/>
        <v>9</v>
      </c>
      <c r="D233" t="b">
        <f t="shared" si="28"/>
        <v>1</v>
      </c>
      <c r="G233" t="str">
        <v xml:space="preserve">Stage 12 Defeat all when they have no buffs on them </v>
      </c>
      <c r="H233" t="str">
        <v>SO</v>
      </c>
      <c r="I233">
        <v>12</v>
      </c>
      <c r="J233" t="b">
        <v>1</v>
      </c>
      <c r="L233" t="str">
        <f t="shared" si="25"/>
        <v>SO12</v>
      </c>
      <c r="M233" t="str">
        <f t="shared" si="23"/>
        <v>SO</v>
      </c>
      <c r="N233" s="32">
        <f t="shared" si="24"/>
        <v>12</v>
      </c>
      <c r="O233" t="str">
        <f t="shared" si="26"/>
        <v>Defeat all when they have no buffs on them</v>
      </c>
    </row>
    <row r="234" spans="1:15" x14ac:dyDescent="0.3">
      <c r="A234" t="s">
        <v>169</v>
      </c>
      <c r="B234" t="str">
        <f t="shared" si="29"/>
        <v>SK</v>
      </c>
      <c r="C234">
        <f t="shared" si="27"/>
        <v>10</v>
      </c>
      <c r="D234" t="b">
        <f t="shared" si="28"/>
        <v>1</v>
      </c>
      <c r="G234" t="str">
        <v xml:space="preserve">Stage 13 Place 15+ HP Burn debuffs </v>
      </c>
      <c r="H234" t="str">
        <v>SO</v>
      </c>
      <c r="I234">
        <v>13</v>
      </c>
      <c r="J234" t="b">
        <v>1</v>
      </c>
      <c r="L234" t="str">
        <f t="shared" si="25"/>
        <v>SO13</v>
      </c>
      <c r="M234" t="str">
        <f t="shared" si="23"/>
        <v>SO</v>
      </c>
      <c r="N234" s="32">
        <f t="shared" si="24"/>
        <v>13</v>
      </c>
      <c r="O234" t="str">
        <f t="shared" si="26"/>
        <v>Place 15+ HP Burn debuffs</v>
      </c>
    </row>
    <row r="235" spans="1:15" x14ac:dyDescent="0.3">
      <c r="A235" t="s">
        <v>319</v>
      </c>
      <c r="B235" t="str">
        <f t="shared" si="29"/>
        <v>SK</v>
      </c>
      <c r="C235">
        <f t="shared" si="27"/>
        <v>11</v>
      </c>
      <c r="D235" t="b">
        <f t="shared" si="28"/>
        <v>1</v>
      </c>
      <c r="G235" t="str">
        <v xml:space="preserve">Stage 14 Clear  in 150 turns </v>
      </c>
      <c r="H235" t="str">
        <v>SO</v>
      </c>
      <c r="I235">
        <v>14</v>
      </c>
      <c r="J235" t="b">
        <v>1</v>
      </c>
      <c r="L235" t="str">
        <f t="shared" si="25"/>
        <v>SO14</v>
      </c>
      <c r="M235" t="str">
        <f t="shared" si="23"/>
        <v>SO</v>
      </c>
      <c r="N235" s="32">
        <f t="shared" si="24"/>
        <v>14</v>
      </c>
      <c r="O235" t="str">
        <f t="shared" si="26"/>
        <v>Clear in 150 turns</v>
      </c>
    </row>
    <row r="236" spans="1:15" x14ac:dyDescent="0.3">
      <c r="A236" t="s">
        <v>181</v>
      </c>
      <c r="B236" t="str">
        <f t="shared" si="29"/>
        <v>SK</v>
      </c>
      <c r="C236">
        <f t="shared" si="27"/>
        <v>12</v>
      </c>
      <c r="D236" t="b">
        <f t="shared" si="28"/>
        <v>1</v>
      </c>
      <c r="G236" t="str">
        <v xml:space="preserve">Stage 15 Beat  with all Champions alive at all times </v>
      </c>
      <c r="H236" t="str">
        <v>SO</v>
      </c>
      <c r="I236">
        <v>15</v>
      </c>
      <c r="J236" t="b">
        <v>1</v>
      </c>
      <c r="L236" t="str">
        <f t="shared" si="25"/>
        <v>SO15</v>
      </c>
      <c r="M236" t="str">
        <f t="shared" si="23"/>
        <v>SO</v>
      </c>
      <c r="N236" s="32">
        <f t="shared" si="24"/>
        <v>15</v>
      </c>
      <c r="O236" t="str">
        <f t="shared" si="26"/>
        <v>Beat with all Champions alive at all times</v>
      </c>
    </row>
    <row r="237" spans="1:15" x14ac:dyDescent="0.3">
      <c r="A237" t="s">
        <v>318</v>
      </c>
      <c r="B237" t="str">
        <f t="shared" si="29"/>
        <v>SK</v>
      </c>
      <c r="C237">
        <f t="shared" si="27"/>
        <v>13</v>
      </c>
      <c r="D237" t="b">
        <f t="shared" si="28"/>
        <v>1</v>
      </c>
      <c r="G237" t="str">
        <v xml:space="preserve">Stage 16 Get an Extra Turn 5+ times </v>
      </c>
      <c r="H237" t="str">
        <v>SO</v>
      </c>
      <c r="I237">
        <v>16</v>
      </c>
      <c r="J237" t="b">
        <v>1</v>
      </c>
      <c r="L237" t="str">
        <f t="shared" si="25"/>
        <v>SO16</v>
      </c>
      <c r="M237" t="str">
        <f t="shared" si="23"/>
        <v>SO</v>
      </c>
      <c r="N237" s="32">
        <f t="shared" si="24"/>
        <v>16</v>
      </c>
      <c r="O237" t="str">
        <f t="shared" si="26"/>
        <v>Get an Extra Turn 5+ times</v>
      </c>
    </row>
    <row r="238" spans="1:15" x14ac:dyDescent="0.3">
      <c r="A238" t="s">
        <v>195</v>
      </c>
      <c r="B238" t="str">
        <f t="shared" si="29"/>
        <v>SK</v>
      </c>
      <c r="C238">
        <f t="shared" si="27"/>
        <v>14</v>
      </c>
      <c r="D238" t="b">
        <f t="shared" si="28"/>
        <v>1</v>
      </c>
      <c r="G238" t="str">
        <v xml:space="preserve">Stage 17 Dont land any weak hits </v>
      </c>
      <c r="H238" t="str">
        <v>SO</v>
      </c>
      <c r="I238">
        <v>17</v>
      </c>
      <c r="J238" t="b">
        <v>1</v>
      </c>
      <c r="L238" t="str">
        <f t="shared" si="25"/>
        <v>SO17</v>
      </c>
      <c r="M238" t="str">
        <f t="shared" si="23"/>
        <v>SO</v>
      </c>
      <c r="N238" s="32">
        <f t="shared" si="24"/>
        <v>17</v>
      </c>
      <c r="O238" t="str">
        <f t="shared" si="26"/>
        <v>Dont land any weak hits</v>
      </c>
    </row>
    <row r="239" spans="1:15" x14ac:dyDescent="0.3">
      <c r="A239" t="s">
        <v>172</v>
      </c>
      <c r="B239" t="str">
        <f t="shared" si="29"/>
        <v>SK</v>
      </c>
      <c r="C239">
        <f t="shared" si="27"/>
        <v>15</v>
      </c>
      <c r="D239" t="b">
        <f t="shared" si="28"/>
        <v>1</v>
      </c>
      <c r="G239" t="str">
        <v xml:space="preserve">Stage 18 Defeat 4+ before they take a turn </v>
      </c>
      <c r="H239" t="str">
        <v>SO</v>
      </c>
      <c r="I239">
        <v>18</v>
      </c>
      <c r="J239" t="b">
        <v>1</v>
      </c>
      <c r="L239" t="str">
        <f t="shared" si="25"/>
        <v>SO18</v>
      </c>
      <c r="M239" t="str">
        <f t="shared" si="23"/>
        <v>SO</v>
      </c>
      <c r="N239" s="32">
        <f t="shared" si="24"/>
        <v>18</v>
      </c>
      <c r="O239" t="str">
        <f t="shared" si="26"/>
        <v>Defeat 4+ before they take a turn</v>
      </c>
    </row>
    <row r="240" spans="1:15" x14ac:dyDescent="0.3">
      <c r="A240" t="s">
        <v>320</v>
      </c>
      <c r="B240" t="str">
        <f t="shared" si="29"/>
        <v>SK</v>
      </c>
      <c r="C240">
        <f t="shared" si="27"/>
        <v>16</v>
      </c>
      <c r="D240" t="b">
        <f t="shared" si="28"/>
        <v>1</v>
      </c>
      <c r="G240" t="str">
        <v xml:space="preserve">Stage 19 Defeat 3+ while theyre under 10 debuffs </v>
      </c>
      <c r="H240" t="str">
        <v>SO</v>
      </c>
      <c r="I240">
        <v>19</v>
      </c>
      <c r="J240" t="b">
        <v>1</v>
      </c>
      <c r="L240" t="str">
        <f t="shared" si="25"/>
        <v>SO19</v>
      </c>
      <c r="M240" t="str">
        <f t="shared" si="23"/>
        <v>SO</v>
      </c>
      <c r="N240" s="32">
        <f t="shared" si="24"/>
        <v>19</v>
      </c>
      <c r="O240" t="str">
        <f t="shared" si="26"/>
        <v>Defeat 3+ while theyre under 10 debuffs</v>
      </c>
    </row>
    <row r="241" spans="1:15" x14ac:dyDescent="0.3">
      <c r="A241" t="s">
        <v>261</v>
      </c>
      <c r="B241" t="str">
        <f t="shared" si="29"/>
        <v>SK</v>
      </c>
      <c r="C241">
        <f t="shared" si="27"/>
        <v>17</v>
      </c>
      <c r="D241" t="b">
        <f t="shared" si="28"/>
        <v>1</v>
      </c>
      <c r="G241" t="str">
        <v>Stage 20 Keep all your Champions HP above 75%</v>
      </c>
      <c r="H241" t="str">
        <v>SO</v>
      </c>
      <c r="I241">
        <v>20</v>
      </c>
      <c r="J241" t="b">
        <v>1</v>
      </c>
      <c r="L241" t="str">
        <f t="shared" si="25"/>
        <v>SO20</v>
      </c>
      <c r="M241" t="str">
        <f t="shared" si="23"/>
        <v>SO</v>
      </c>
      <c r="N241" s="32">
        <f t="shared" si="24"/>
        <v>20</v>
      </c>
      <c r="O241" t="str">
        <f t="shared" si="26"/>
        <v>Keep all your Champions HP above 75%</v>
      </c>
    </row>
    <row r="242" spans="1:15" x14ac:dyDescent="0.3">
      <c r="A242" t="s">
        <v>293</v>
      </c>
      <c r="B242" t="str">
        <f t="shared" si="29"/>
        <v>SK</v>
      </c>
      <c r="C242">
        <f t="shared" si="27"/>
        <v>18</v>
      </c>
      <c r="D242" t="b">
        <f t="shared" si="28"/>
        <v>1</v>
      </c>
      <c r="G242" t="str">
        <v xml:space="preserve">Stage 1 Place 20+ Poison debuffs </v>
      </c>
      <c r="H242" t="str">
        <v>SW</v>
      </c>
      <c r="I242">
        <v>1</v>
      </c>
      <c r="J242" t="b">
        <v>1</v>
      </c>
      <c r="L242" t="str">
        <f t="shared" si="25"/>
        <v>SW1</v>
      </c>
      <c r="M242" t="str">
        <f t="shared" si="23"/>
        <v>SW</v>
      </c>
      <c r="N242" s="32">
        <f t="shared" si="24"/>
        <v>1</v>
      </c>
      <c r="O242" t="str">
        <f t="shared" si="26"/>
        <v>Place 20+ Poison debuffs</v>
      </c>
    </row>
    <row r="243" spans="1:15" x14ac:dyDescent="0.3">
      <c r="A243" t="s">
        <v>297</v>
      </c>
      <c r="B243" t="str">
        <f t="shared" si="29"/>
        <v>SK</v>
      </c>
      <c r="C243">
        <f t="shared" si="27"/>
        <v>19</v>
      </c>
      <c r="D243" t="b">
        <f t="shared" si="28"/>
        <v>1</v>
      </c>
      <c r="G243" t="str">
        <v xml:space="preserve">Stage 2 Place 10+ Stun debuffs </v>
      </c>
      <c r="H243" t="str">
        <v>SW</v>
      </c>
      <c r="I243">
        <v>2</v>
      </c>
      <c r="J243" t="b">
        <v>1</v>
      </c>
      <c r="L243" t="str">
        <f t="shared" si="25"/>
        <v>SW2</v>
      </c>
      <c r="M243" t="str">
        <f t="shared" si="23"/>
        <v>SW</v>
      </c>
      <c r="N243" s="32">
        <f t="shared" si="24"/>
        <v>2</v>
      </c>
      <c r="O243" t="str">
        <f t="shared" si="26"/>
        <v>Place 10+ Stun debuffs</v>
      </c>
    </row>
    <row r="244" spans="1:15" x14ac:dyDescent="0.3">
      <c r="A244" t="s">
        <v>351</v>
      </c>
      <c r="B244" t="str">
        <f t="shared" si="29"/>
        <v>SK</v>
      </c>
      <c r="C244">
        <f t="shared" si="27"/>
        <v>20</v>
      </c>
      <c r="D244" t="b">
        <f t="shared" si="28"/>
        <v>1</v>
      </c>
      <c r="G244" t="str">
        <v xml:space="preserve">Stage 3 Manipulate buff or debuff duration 20+ times </v>
      </c>
      <c r="H244" t="str">
        <v>SW</v>
      </c>
      <c r="I244">
        <v>3</v>
      </c>
      <c r="J244" t="b">
        <v>1</v>
      </c>
      <c r="L244" t="str">
        <f t="shared" si="25"/>
        <v>SW3</v>
      </c>
      <c r="M244" t="str">
        <f t="shared" si="23"/>
        <v>SW</v>
      </c>
      <c r="N244" s="32">
        <f t="shared" si="24"/>
        <v>3</v>
      </c>
      <c r="O244" t="str">
        <f t="shared" si="26"/>
        <v>Manipulate buff or debuff duration 20+ times</v>
      </c>
    </row>
    <row r="245" spans="1:15" x14ac:dyDescent="0.3">
      <c r="A245" t="s">
        <v>159</v>
      </c>
      <c r="B245" t="str">
        <f t="shared" si="29"/>
        <v>SO</v>
      </c>
      <c r="C245">
        <f t="shared" si="27"/>
        <v>0</v>
      </c>
      <c r="D245" t="str">
        <f t="shared" si="28"/>
        <v/>
      </c>
      <c r="G245" t="str">
        <v xml:space="preserve">Stage 4 Place 10+ Provoke debuffs </v>
      </c>
      <c r="H245" t="str">
        <v>SW</v>
      </c>
      <c r="I245">
        <v>4</v>
      </c>
      <c r="J245" t="b">
        <v>1</v>
      </c>
      <c r="L245" t="str">
        <f t="shared" si="25"/>
        <v>SW4</v>
      </c>
      <c r="M245" t="str">
        <f t="shared" si="23"/>
        <v>SW</v>
      </c>
      <c r="N245" s="32">
        <f t="shared" si="24"/>
        <v>4</v>
      </c>
      <c r="O245" t="str">
        <f t="shared" si="26"/>
        <v>Place 10+ Provoke debuffs</v>
      </c>
    </row>
    <row r="246" spans="1:15" x14ac:dyDescent="0.3">
      <c r="B246" t="str">
        <f t="shared" si="29"/>
        <v>SO</v>
      </c>
      <c r="C246">
        <f t="shared" si="27"/>
        <v>0</v>
      </c>
      <c r="D246" t="str">
        <f t="shared" si="28"/>
        <v/>
      </c>
      <c r="G246" t="str">
        <v xml:space="preserve">Stage 5 Reduce 6+ HP by 50% with one skill </v>
      </c>
      <c r="H246" t="str">
        <v>SW</v>
      </c>
      <c r="I246">
        <v>5</v>
      </c>
      <c r="J246" t="b">
        <v>1</v>
      </c>
      <c r="L246" t="str">
        <f t="shared" si="25"/>
        <v>SW5</v>
      </c>
      <c r="M246" t="str">
        <f t="shared" si="23"/>
        <v>SW</v>
      </c>
      <c r="N246" s="32">
        <f t="shared" si="24"/>
        <v>5</v>
      </c>
      <c r="O246" t="str">
        <f t="shared" si="26"/>
        <v>Reduce 6+ HP by 50% with one skill</v>
      </c>
    </row>
    <row r="247" spans="1:15" x14ac:dyDescent="0.3">
      <c r="A247" t="s">
        <v>217</v>
      </c>
      <c r="B247" t="str">
        <f t="shared" si="29"/>
        <v>SO</v>
      </c>
      <c r="C247">
        <f t="shared" si="27"/>
        <v>1</v>
      </c>
      <c r="D247" t="b">
        <f t="shared" si="28"/>
        <v>1</v>
      </c>
      <c r="G247" t="str">
        <v xml:space="preserve">Stage 6 Manipulate Turn Meters 40+ times </v>
      </c>
      <c r="H247" t="str">
        <v>SW</v>
      </c>
      <c r="I247">
        <v>6</v>
      </c>
      <c r="J247" t="b">
        <v>1</v>
      </c>
      <c r="L247" t="str">
        <f t="shared" si="25"/>
        <v>SW6</v>
      </c>
      <c r="M247" t="str">
        <f t="shared" si="23"/>
        <v>SW</v>
      </c>
      <c r="N247" s="32">
        <f t="shared" si="24"/>
        <v>6</v>
      </c>
      <c r="O247" t="str">
        <f t="shared" si="26"/>
        <v>Manipulate Turn Meters 40+ times</v>
      </c>
    </row>
    <row r="248" spans="1:15" x14ac:dyDescent="0.3">
      <c r="A248" t="s">
        <v>191</v>
      </c>
      <c r="B248" t="str">
        <f t="shared" si="29"/>
        <v>SO</v>
      </c>
      <c r="C248">
        <f t="shared" si="27"/>
        <v>2</v>
      </c>
      <c r="D248" t="b">
        <f t="shared" si="28"/>
        <v>1</v>
      </c>
      <c r="G248" t="str">
        <v xml:space="preserve">Stage 7 Clear  in 100 turns </v>
      </c>
      <c r="H248" t="str">
        <v>SW</v>
      </c>
      <c r="I248">
        <v>7</v>
      </c>
      <c r="J248" t="b">
        <v>1</v>
      </c>
      <c r="L248" t="str">
        <f t="shared" si="25"/>
        <v>SW7</v>
      </c>
      <c r="M248" t="str">
        <f t="shared" si="23"/>
        <v>SW</v>
      </c>
      <c r="N248" s="32">
        <f t="shared" si="24"/>
        <v>7</v>
      </c>
      <c r="O248" t="str">
        <f t="shared" si="26"/>
        <v>Clear in 100 turns</v>
      </c>
    </row>
    <row r="249" spans="1:15" x14ac:dyDescent="0.3">
      <c r="A249" t="s">
        <v>165</v>
      </c>
      <c r="B249" t="str">
        <f t="shared" si="29"/>
        <v>SO</v>
      </c>
      <c r="C249">
        <f t="shared" si="27"/>
        <v>3</v>
      </c>
      <c r="D249" t="b">
        <f t="shared" si="28"/>
        <v>1</v>
      </c>
      <c r="G249" t="str">
        <v xml:space="preserve">Stage 8 Place 15+ Stun debuffs </v>
      </c>
      <c r="H249" t="str">
        <v>SW</v>
      </c>
      <c r="I249">
        <v>8</v>
      </c>
      <c r="J249" t="b">
        <v>1</v>
      </c>
      <c r="L249" t="str">
        <f t="shared" si="25"/>
        <v>SW8</v>
      </c>
      <c r="M249" t="str">
        <f t="shared" si="23"/>
        <v>SW</v>
      </c>
      <c r="N249" s="32">
        <f t="shared" si="24"/>
        <v>8</v>
      </c>
      <c r="O249" t="str">
        <f t="shared" si="26"/>
        <v>Place 15+ Stun debuffs</v>
      </c>
    </row>
    <row r="250" spans="1:15" x14ac:dyDescent="0.3">
      <c r="A250" t="s">
        <v>321</v>
      </c>
      <c r="B250" t="str">
        <f t="shared" si="29"/>
        <v>SO</v>
      </c>
      <c r="C250">
        <f t="shared" si="27"/>
        <v>4</v>
      </c>
      <c r="D250" t="b">
        <f t="shared" si="28"/>
        <v>1</v>
      </c>
      <c r="G250" t="str">
        <v xml:space="preserve">Stage 9 Place 15+ Provoke debuffs </v>
      </c>
      <c r="H250" t="str">
        <v>SW</v>
      </c>
      <c r="I250">
        <v>9</v>
      </c>
      <c r="J250" t="b">
        <v>1</v>
      </c>
      <c r="L250" t="str">
        <f t="shared" si="25"/>
        <v>SW9</v>
      </c>
      <c r="M250" t="str">
        <f t="shared" si="23"/>
        <v>SW</v>
      </c>
      <c r="N250" s="32">
        <f t="shared" si="24"/>
        <v>9</v>
      </c>
      <c r="O250" t="str">
        <f t="shared" si="26"/>
        <v>Place 15+ Provoke debuffs</v>
      </c>
    </row>
    <row r="251" spans="1:15" x14ac:dyDescent="0.3">
      <c r="A251" t="s">
        <v>192</v>
      </c>
      <c r="B251" t="str">
        <f t="shared" si="29"/>
        <v>SO</v>
      </c>
      <c r="C251">
        <f t="shared" si="27"/>
        <v>5</v>
      </c>
      <c r="D251" t="b">
        <f t="shared" si="28"/>
        <v>1</v>
      </c>
      <c r="G251" t="str">
        <v xml:space="preserve">Stage 10 Use at least 3 Epic Champions </v>
      </c>
      <c r="H251" t="str">
        <v>SW</v>
      </c>
      <c r="I251">
        <v>10</v>
      </c>
      <c r="J251" t="b">
        <v>1</v>
      </c>
      <c r="L251" t="str">
        <f t="shared" si="25"/>
        <v>SW10</v>
      </c>
      <c r="M251" t="str">
        <f t="shared" si="23"/>
        <v>SW</v>
      </c>
      <c r="N251" s="32">
        <f t="shared" si="24"/>
        <v>10</v>
      </c>
      <c r="O251" t="str">
        <f t="shared" si="26"/>
        <v>Use at least 3 Epic Champions</v>
      </c>
    </row>
    <row r="252" spans="1:15" x14ac:dyDescent="0.3">
      <c r="A252" t="s">
        <v>178</v>
      </c>
      <c r="B252" t="str">
        <f t="shared" si="29"/>
        <v>SO</v>
      </c>
      <c r="C252">
        <f t="shared" si="27"/>
        <v>6</v>
      </c>
      <c r="D252" t="b">
        <f t="shared" si="28"/>
        <v>1</v>
      </c>
      <c r="G252" t="str">
        <v xml:space="preserve">Stage 11 Manipulate buff or debuff duration 30+ times </v>
      </c>
      <c r="H252" t="str">
        <v>SW</v>
      </c>
      <c r="I252">
        <v>11</v>
      </c>
      <c r="J252" t="b">
        <v>1</v>
      </c>
      <c r="L252" t="str">
        <f t="shared" si="25"/>
        <v>SW11</v>
      </c>
      <c r="M252" t="str">
        <f t="shared" si="23"/>
        <v>SW</v>
      </c>
      <c r="N252" s="32">
        <f t="shared" si="24"/>
        <v>11</v>
      </c>
      <c r="O252" t="str">
        <f t="shared" si="26"/>
        <v>Manipulate buff or debuff duration 30+ times</v>
      </c>
    </row>
    <row r="253" spans="1:15" x14ac:dyDescent="0.3">
      <c r="A253" t="s">
        <v>167</v>
      </c>
      <c r="B253" t="str">
        <f t="shared" si="29"/>
        <v>SO</v>
      </c>
      <c r="C253">
        <f t="shared" si="27"/>
        <v>7</v>
      </c>
      <c r="D253" t="b">
        <f t="shared" si="28"/>
        <v>1</v>
      </c>
      <c r="G253" t="str">
        <v xml:space="preserve">Stage 12 Defeat all when they have no buffs on them </v>
      </c>
      <c r="H253" t="str">
        <v>SW</v>
      </c>
      <c r="I253">
        <v>12</v>
      </c>
      <c r="J253" t="b">
        <v>1</v>
      </c>
      <c r="L253" t="str">
        <f t="shared" si="25"/>
        <v>SW12</v>
      </c>
      <c r="M253" t="str">
        <f t="shared" si="23"/>
        <v>SW</v>
      </c>
      <c r="N253" s="32">
        <f t="shared" si="24"/>
        <v>12</v>
      </c>
      <c r="O253" t="str">
        <f t="shared" si="26"/>
        <v>Defeat all when they have no buffs on them</v>
      </c>
    </row>
    <row r="254" spans="1:15" x14ac:dyDescent="0.3">
      <c r="A254" t="s">
        <v>193</v>
      </c>
      <c r="B254" t="str">
        <f t="shared" si="29"/>
        <v>SO</v>
      </c>
      <c r="C254">
        <f t="shared" si="27"/>
        <v>8</v>
      </c>
      <c r="D254" t="b">
        <f t="shared" si="28"/>
        <v>1</v>
      </c>
      <c r="G254" t="str">
        <v xml:space="preserve">Stage 13 Defeat 3+ using Ally Attack skills or counterattacks </v>
      </c>
      <c r="H254" t="str">
        <v>SW</v>
      </c>
      <c r="I254">
        <v>13</v>
      </c>
      <c r="J254" t="b">
        <v>1</v>
      </c>
      <c r="L254" t="str">
        <f t="shared" si="25"/>
        <v>SW13</v>
      </c>
      <c r="M254" t="str">
        <f t="shared" si="23"/>
        <v>SW</v>
      </c>
      <c r="N254" s="32">
        <f t="shared" si="24"/>
        <v>13</v>
      </c>
      <c r="O254" t="str">
        <f t="shared" si="26"/>
        <v>Defeat 3+ using Ally Attack skills or counterattacks</v>
      </c>
    </row>
    <row r="255" spans="1:15" x14ac:dyDescent="0.3">
      <c r="A255" t="s">
        <v>322</v>
      </c>
      <c r="B255" t="str">
        <f t="shared" si="29"/>
        <v>SO</v>
      </c>
      <c r="C255">
        <f t="shared" si="27"/>
        <v>9</v>
      </c>
      <c r="D255" t="b">
        <f t="shared" si="28"/>
        <v>1</v>
      </c>
      <c r="G255" t="str">
        <v xml:space="preserve">Stage 14 Clear  in 150 turns </v>
      </c>
      <c r="H255" t="str">
        <v>SW</v>
      </c>
      <c r="I255">
        <v>14</v>
      </c>
      <c r="J255" t="b">
        <v>1</v>
      </c>
      <c r="L255" t="str">
        <f t="shared" si="25"/>
        <v>SW14</v>
      </c>
      <c r="M255" t="str">
        <f t="shared" si="23"/>
        <v>SW</v>
      </c>
      <c r="N255" s="32">
        <f t="shared" si="24"/>
        <v>14</v>
      </c>
      <c r="O255" t="str">
        <f t="shared" si="26"/>
        <v>Clear in 150 turns</v>
      </c>
    </row>
    <row r="256" spans="1:15" x14ac:dyDescent="0.3">
      <c r="A256" t="s">
        <v>169</v>
      </c>
      <c r="B256" t="str">
        <f t="shared" si="29"/>
        <v>SO</v>
      </c>
      <c r="C256">
        <f t="shared" si="27"/>
        <v>10</v>
      </c>
      <c r="D256" t="b">
        <f t="shared" si="28"/>
        <v>1</v>
      </c>
      <c r="G256" t="str">
        <v xml:space="preserve">Stage 15 Beat  with all Champions alive at all times </v>
      </c>
      <c r="H256" t="str">
        <v>SW</v>
      </c>
      <c r="I256">
        <v>15</v>
      </c>
      <c r="J256" t="b">
        <v>1</v>
      </c>
      <c r="L256" t="str">
        <f t="shared" si="25"/>
        <v>SW15</v>
      </c>
      <c r="M256" t="str">
        <f t="shared" si="23"/>
        <v>SW</v>
      </c>
      <c r="N256" s="32">
        <f t="shared" si="24"/>
        <v>15</v>
      </c>
      <c r="O256" t="str">
        <f t="shared" si="26"/>
        <v>Beat with all Champions alive at all times</v>
      </c>
    </row>
    <row r="257" spans="1:15" x14ac:dyDescent="0.3">
      <c r="A257" t="s">
        <v>323</v>
      </c>
      <c r="B257" t="str">
        <f t="shared" si="29"/>
        <v>SO</v>
      </c>
      <c r="C257">
        <f t="shared" si="27"/>
        <v>11</v>
      </c>
      <c r="D257" t="b">
        <f t="shared" si="28"/>
        <v>1</v>
      </c>
      <c r="G257" t="str">
        <v xml:space="preserve">Stage 16 Get an Extra Turn 5+ times </v>
      </c>
      <c r="H257" t="str">
        <v>SW</v>
      </c>
      <c r="I257">
        <v>16</v>
      </c>
      <c r="J257" t="b">
        <v>1</v>
      </c>
      <c r="L257" t="str">
        <f t="shared" si="25"/>
        <v>SW16</v>
      </c>
      <c r="M257" t="str">
        <f t="shared" si="23"/>
        <v>SW</v>
      </c>
      <c r="N257" s="32">
        <f t="shared" si="24"/>
        <v>16</v>
      </c>
      <c r="O257" t="str">
        <f t="shared" si="26"/>
        <v>Get an Extra Turn 5+ times</v>
      </c>
    </row>
    <row r="258" spans="1:15" x14ac:dyDescent="0.3">
      <c r="A258" t="s">
        <v>302</v>
      </c>
      <c r="B258" t="str">
        <f t="shared" si="29"/>
        <v>SO</v>
      </c>
      <c r="C258">
        <f t="shared" si="27"/>
        <v>12</v>
      </c>
      <c r="D258" t="b">
        <f t="shared" si="28"/>
        <v>1</v>
      </c>
      <c r="G258" t="str">
        <v xml:space="preserve">Stage 17 Dont land any weak hits </v>
      </c>
      <c r="H258" t="str">
        <v>SW</v>
      </c>
      <c r="I258">
        <v>17</v>
      </c>
      <c r="J258" t="b">
        <v>1</v>
      </c>
      <c r="L258" t="str">
        <f t="shared" si="25"/>
        <v>SW17</v>
      </c>
      <c r="M258" t="str">
        <f t="shared" ref="M258:M301" si="30">H258</f>
        <v>SW</v>
      </c>
      <c r="N258" s="32">
        <f t="shared" ref="N258:N301" si="31">I258</f>
        <v>17</v>
      </c>
      <c r="O258" t="str">
        <f t="shared" si="26"/>
        <v>Dont land any weak hits</v>
      </c>
    </row>
    <row r="259" spans="1:15" x14ac:dyDescent="0.3">
      <c r="A259" t="s">
        <v>194</v>
      </c>
      <c r="B259" t="str">
        <f t="shared" si="29"/>
        <v>SO</v>
      </c>
      <c r="C259">
        <f t="shared" si="27"/>
        <v>13</v>
      </c>
      <c r="D259" t="b">
        <f t="shared" si="28"/>
        <v>1</v>
      </c>
      <c r="G259" t="str">
        <v xml:space="preserve">Stage 18 Defeat 3+ while your Champions are under 7 or more buffs </v>
      </c>
      <c r="H259" t="str">
        <v>SW</v>
      </c>
      <c r="I259">
        <v>18</v>
      </c>
      <c r="J259" t="b">
        <v>1</v>
      </c>
      <c r="L259" t="str">
        <f t="shared" ref="L259:L301" si="32">M259&amp;N259</f>
        <v>SW18</v>
      </c>
      <c r="M259" t="str">
        <f t="shared" si="30"/>
        <v>SW</v>
      </c>
      <c r="N259" s="32">
        <f t="shared" si="31"/>
        <v>18</v>
      </c>
      <c r="O259" t="str">
        <f t="shared" ref="O259:O301" si="33">TRIM(_xlfn.LET( _xlpm.x, FIND(" ", G259, 7),_xlpm.y,ISNUMBER(_xlpm.x), IF(_xlpm.y, MID(G259,_xlpm.x+1,99),"")))</f>
        <v>Defeat 3+ while your Champions are under 7 or more buffs</v>
      </c>
    </row>
    <row r="260" spans="1:15" x14ac:dyDescent="0.3">
      <c r="A260" t="s">
        <v>195</v>
      </c>
      <c r="B260" t="str">
        <f t="shared" si="29"/>
        <v>SO</v>
      </c>
      <c r="C260">
        <f t="shared" ref="C260:C323" si="34">IF(LEFT(A260,4)="Stag",INT(TRIM(MID(A260,7,2))), 0)</f>
        <v>14</v>
      </c>
      <c r="D260" t="b">
        <f t="shared" ref="D260:D323" si="35">IF(C260&lt;&gt;0, INT(C260)=C259+1, "")</f>
        <v>1</v>
      </c>
      <c r="G260" t="str">
        <v xml:space="preserve">Stage 19 Dont let enemies use any active skills </v>
      </c>
      <c r="H260" t="str">
        <v>SW</v>
      </c>
      <c r="I260">
        <v>19</v>
      </c>
      <c r="J260" t="b">
        <v>1</v>
      </c>
      <c r="L260" t="str">
        <f t="shared" si="32"/>
        <v>SW19</v>
      </c>
      <c r="M260" t="str">
        <f t="shared" si="30"/>
        <v>SW</v>
      </c>
      <c r="N260" s="32">
        <f t="shared" si="31"/>
        <v>19</v>
      </c>
      <c r="O260" t="str">
        <f t="shared" si="33"/>
        <v>Dont let enemies use any active skills</v>
      </c>
    </row>
    <row r="261" spans="1:15" x14ac:dyDescent="0.3">
      <c r="A261" t="s">
        <v>172</v>
      </c>
      <c r="B261" t="str">
        <f t="shared" ref="B261:B324" si="36">IF(LEFT(A261,5)="file=",MID(A261,7,2),B260)</f>
        <v>SO</v>
      </c>
      <c r="C261">
        <f t="shared" si="34"/>
        <v>15</v>
      </c>
      <c r="D261" t="b">
        <f t="shared" si="35"/>
        <v>1</v>
      </c>
      <c r="G261" t="str">
        <v>Stage 20 Defeat 3+ while theyre under 10 debuffs</v>
      </c>
      <c r="H261" t="str">
        <v>SW</v>
      </c>
      <c r="I261">
        <v>20</v>
      </c>
      <c r="J261" t="b">
        <v>1</v>
      </c>
      <c r="L261" t="str">
        <f t="shared" si="32"/>
        <v>SW20</v>
      </c>
      <c r="M261" t="str">
        <f t="shared" si="30"/>
        <v>SW</v>
      </c>
      <c r="N261" s="32">
        <f t="shared" si="31"/>
        <v>20</v>
      </c>
      <c r="O261" t="str">
        <f t="shared" si="33"/>
        <v>Defeat 3+ while theyre under 10 debuffs</v>
      </c>
    </row>
    <row r="262" spans="1:15" x14ac:dyDescent="0.3">
      <c r="A262" t="s">
        <v>196</v>
      </c>
      <c r="B262" t="str">
        <f t="shared" si="36"/>
        <v>SO</v>
      </c>
      <c r="C262">
        <f t="shared" si="34"/>
        <v>16</v>
      </c>
      <c r="D262" t="b">
        <f t="shared" si="35"/>
        <v>1</v>
      </c>
      <c r="G262" t="str">
        <v xml:space="preserve">Stage 1 Heal your Champions HP by 500000+ </v>
      </c>
      <c r="H262" t="str">
        <v>SY</v>
      </c>
      <c r="I262">
        <v>1</v>
      </c>
      <c r="J262" t="b">
        <v>1</v>
      </c>
      <c r="L262" t="str">
        <f t="shared" si="32"/>
        <v>SY1</v>
      </c>
      <c r="M262" t="str">
        <f t="shared" si="30"/>
        <v>SY</v>
      </c>
      <c r="N262" s="32">
        <f t="shared" si="31"/>
        <v>1</v>
      </c>
      <c r="O262" t="str">
        <f t="shared" si="33"/>
        <v>Heal your Champions HP by 500000+</v>
      </c>
    </row>
    <row r="263" spans="1:15" x14ac:dyDescent="0.3">
      <c r="A263" t="s">
        <v>261</v>
      </c>
      <c r="B263" t="str">
        <f t="shared" si="36"/>
        <v>SO</v>
      </c>
      <c r="C263">
        <f t="shared" si="34"/>
        <v>17</v>
      </c>
      <c r="D263" t="b">
        <f t="shared" si="35"/>
        <v>1</v>
      </c>
      <c r="G263" t="str">
        <v xml:space="preserve">Stage 2 Place 10+ Freeze debuffs </v>
      </c>
      <c r="H263" t="str">
        <v>SY</v>
      </c>
      <c r="I263">
        <v>2</v>
      </c>
      <c r="J263" t="b">
        <v>1</v>
      </c>
      <c r="L263" t="str">
        <f t="shared" si="32"/>
        <v>SY2</v>
      </c>
      <c r="M263" t="str">
        <f t="shared" si="30"/>
        <v>SY</v>
      </c>
      <c r="N263" s="32">
        <f t="shared" si="31"/>
        <v>2</v>
      </c>
      <c r="O263" t="str">
        <f t="shared" si="33"/>
        <v>Place 10+ Freeze debuffs</v>
      </c>
    </row>
    <row r="264" spans="1:15" x14ac:dyDescent="0.3">
      <c r="A264" t="s">
        <v>293</v>
      </c>
      <c r="B264" t="str">
        <f t="shared" si="36"/>
        <v>SO</v>
      </c>
      <c r="C264">
        <f t="shared" si="34"/>
        <v>18</v>
      </c>
      <c r="D264" t="b">
        <f t="shared" si="35"/>
        <v>1</v>
      </c>
      <c r="G264" t="str">
        <v xml:space="preserve">Stage 3 Place 10+ Decrease SPD debuffs </v>
      </c>
      <c r="H264" t="str">
        <v>SY</v>
      </c>
      <c r="I264">
        <v>3</v>
      </c>
      <c r="J264" t="b">
        <v>1</v>
      </c>
      <c r="L264" t="str">
        <f t="shared" si="32"/>
        <v>SY3</v>
      </c>
      <c r="M264" t="str">
        <f t="shared" si="30"/>
        <v>SY</v>
      </c>
      <c r="N264" s="32">
        <f t="shared" si="31"/>
        <v>3</v>
      </c>
      <c r="O264" t="str">
        <f t="shared" si="33"/>
        <v>Place 10+ Decrease SPD debuffs</v>
      </c>
    </row>
    <row r="265" spans="1:15" x14ac:dyDescent="0.3">
      <c r="A265" t="s">
        <v>297</v>
      </c>
      <c r="B265" t="str">
        <f t="shared" si="36"/>
        <v>SO</v>
      </c>
      <c r="C265">
        <f t="shared" si="34"/>
        <v>19</v>
      </c>
      <c r="D265" t="b">
        <f t="shared" si="35"/>
        <v>1</v>
      </c>
      <c r="G265" t="str">
        <v xml:space="preserve">Stage 4 Manipulate buff or debuff duration 20+ times </v>
      </c>
      <c r="H265" t="str">
        <v>SY</v>
      </c>
      <c r="I265">
        <v>4</v>
      </c>
      <c r="J265" t="b">
        <v>1</v>
      </c>
      <c r="L265" t="str">
        <f t="shared" si="32"/>
        <v>SY4</v>
      </c>
      <c r="M265" t="str">
        <f t="shared" si="30"/>
        <v>SY</v>
      </c>
      <c r="N265" s="32">
        <f t="shared" si="31"/>
        <v>4</v>
      </c>
      <c r="O265" t="str">
        <f t="shared" si="33"/>
        <v>Manipulate buff or debuff duration 20+ times</v>
      </c>
    </row>
    <row r="266" spans="1:15" x14ac:dyDescent="0.3">
      <c r="A266" t="s">
        <v>262</v>
      </c>
      <c r="B266" t="str">
        <f t="shared" si="36"/>
        <v>SO</v>
      </c>
      <c r="C266">
        <f t="shared" si="34"/>
        <v>20</v>
      </c>
      <c r="D266" t="b">
        <f t="shared" si="35"/>
        <v>1</v>
      </c>
      <c r="G266" t="str">
        <v xml:space="preserve">Stage 5 Manipulate skill cooldowns 10+ times </v>
      </c>
      <c r="H266" t="str">
        <v>SY</v>
      </c>
      <c r="I266">
        <v>5</v>
      </c>
      <c r="J266" t="b">
        <v>1</v>
      </c>
      <c r="L266" t="str">
        <f t="shared" si="32"/>
        <v>SY5</v>
      </c>
      <c r="M266" t="str">
        <f t="shared" si="30"/>
        <v>SY</v>
      </c>
      <c r="N266" s="32">
        <f t="shared" si="31"/>
        <v>5</v>
      </c>
      <c r="O266" t="str">
        <f t="shared" si="33"/>
        <v>Manipulate skill cooldowns 10+ times</v>
      </c>
    </row>
    <row r="267" spans="1:15" x14ac:dyDescent="0.3">
      <c r="A267" t="s">
        <v>160</v>
      </c>
      <c r="B267" t="str">
        <f t="shared" si="36"/>
        <v>SW</v>
      </c>
      <c r="C267">
        <f t="shared" si="34"/>
        <v>0</v>
      </c>
      <c r="D267" t="str">
        <f t="shared" si="35"/>
        <v/>
      </c>
      <c r="G267" t="str">
        <v xml:space="preserve">Stage 6 Manipulate Turn Meters 40+ times </v>
      </c>
      <c r="H267" t="str">
        <v>SY</v>
      </c>
      <c r="I267">
        <v>6</v>
      </c>
      <c r="J267" t="b">
        <v>1</v>
      </c>
      <c r="L267" t="str">
        <f t="shared" si="32"/>
        <v>SY6</v>
      </c>
      <c r="M267" t="str">
        <f t="shared" si="30"/>
        <v>SY</v>
      </c>
      <c r="N267" s="32">
        <f t="shared" si="31"/>
        <v>6</v>
      </c>
      <c r="O267" t="str">
        <f t="shared" si="33"/>
        <v>Manipulate Turn Meters 40+ times</v>
      </c>
    </row>
    <row r="268" spans="1:15" x14ac:dyDescent="0.3">
      <c r="B268" t="str">
        <f t="shared" si="36"/>
        <v>SW</v>
      </c>
      <c r="C268">
        <f t="shared" si="34"/>
        <v>0</v>
      </c>
      <c r="D268" t="str">
        <f t="shared" si="35"/>
        <v/>
      </c>
      <c r="G268" t="str">
        <v xml:space="preserve">Stage 7 Clear  in 100 turns </v>
      </c>
      <c r="H268" t="str">
        <v>SY</v>
      </c>
      <c r="I268">
        <v>7</v>
      </c>
      <c r="J268" t="b">
        <v>1</v>
      </c>
      <c r="L268" t="str">
        <f t="shared" si="32"/>
        <v>SY7</v>
      </c>
      <c r="M268" t="str">
        <f t="shared" si="30"/>
        <v>SY</v>
      </c>
      <c r="N268" s="32">
        <f t="shared" si="31"/>
        <v>7</v>
      </c>
      <c r="O268" t="str">
        <f t="shared" si="33"/>
        <v>Clear in 100 turns</v>
      </c>
    </row>
    <row r="269" spans="1:15" x14ac:dyDescent="0.3">
      <c r="A269" t="s">
        <v>174</v>
      </c>
      <c r="B269" t="str">
        <f t="shared" si="36"/>
        <v>SW</v>
      </c>
      <c r="C269">
        <f t="shared" si="34"/>
        <v>1</v>
      </c>
      <c r="D269" t="b">
        <f t="shared" si="35"/>
        <v>1</v>
      </c>
      <c r="G269" t="str">
        <v xml:space="preserve">Stage 8 Heal your Champions HP by 1000000+ </v>
      </c>
      <c r="H269" t="str">
        <v>SY</v>
      </c>
      <c r="I269">
        <v>8</v>
      </c>
      <c r="J269" t="b">
        <v>1</v>
      </c>
      <c r="L269" t="str">
        <f t="shared" si="32"/>
        <v>SY8</v>
      </c>
      <c r="M269" t="str">
        <f t="shared" si="30"/>
        <v>SY</v>
      </c>
      <c r="N269" s="32">
        <f t="shared" si="31"/>
        <v>8</v>
      </c>
      <c r="O269" t="str">
        <f t="shared" si="33"/>
        <v>Heal your Champions HP by 1000000+</v>
      </c>
    </row>
    <row r="270" spans="1:15" x14ac:dyDescent="0.3">
      <c r="A270" t="s">
        <v>197</v>
      </c>
      <c r="B270" t="str">
        <f t="shared" si="36"/>
        <v>SW</v>
      </c>
      <c r="C270">
        <f t="shared" si="34"/>
        <v>2</v>
      </c>
      <c r="D270" t="b">
        <f t="shared" si="35"/>
        <v>1</v>
      </c>
      <c r="G270" t="str">
        <v xml:space="preserve">Stage 9 Place 15+ Freeze debuffs </v>
      </c>
      <c r="H270" t="str">
        <v>SY</v>
      </c>
      <c r="I270">
        <v>9</v>
      </c>
      <c r="J270" t="b">
        <v>1</v>
      </c>
      <c r="L270" t="str">
        <f t="shared" si="32"/>
        <v>SY9</v>
      </c>
      <c r="M270" t="str">
        <f t="shared" si="30"/>
        <v>SY</v>
      </c>
      <c r="N270" s="32">
        <f t="shared" si="31"/>
        <v>9</v>
      </c>
      <c r="O270" t="str">
        <f t="shared" si="33"/>
        <v>Place 15+ Freeze debuffs</v>
      </c>
    </row>
    <row r="271" spans="1:15" x14ac:dyDescent="0.3">
      <c r="A271" t="s">
        <v>198</v>
      </c>
      <c r="B271" t="str">
        <f t="shared" si="36"/>
        <v>SW</v>
      </c>
      <c r="C271">
        <f t="shared" si="34"/>
        <v>3</v>
      </c>
      <c r="D271" t="b">
        <f t="shared" si="35"/>
        <v>1</v>
      </c>
      <c r="G271" t="str">
        <v xml:space="preserve">Stage 10 Use at least 3 Epic Champions </v>
      </c>
      <c r="H271" t="str">
        <v>SY</v>
      </c>
      <c r="I271">
        <v>10</v>
      </c>
      <c r="J271" t="b">
        <v>1</v>
      </c>
      <c r="L271" t="str">
        <f t="shared" si="32"/>
        <v>SY10</v>
      </c>
      <c r="M271" t="str">
        <f t="shared" si="30"/>
        <v>SY</v>
      </c>
      <c r="N271" s="32">
        <f t="shared" si="31"/>
        <v>10</v>
      </c>
      <c r="O271" t="str">
        <f t="shared" si="33"/>
        <v>Use at least 3 Epic Champions</v>
      </c>
    </row>
    <row r="272" spans="1:15" x14ac:dyDescent="0.3">
      <c r="A272" t="s">
        <v>199</v>
      </c>
      <c r="B272" t="str">
        <f t="shared" si="36"/>
        <v>SW</v>
      </c>
      <c r="C272">
        <f t="shared" si="34"/>
        <v>4</v>
      </c>
      <c r="D272" t="b">
        <f t="shared" si="35"/>
        <v>1</v>
      </c>
      <c r="G272" t="str">
        <v xml:space="preserve">Stage 11 Manipulate Turn Meters 60+ times </v>
      </c>
      <c r="H272" t="str">
        <v>SY</v>
      </c>
      <c r="I272">
        <v>11</v>
      </c>
      <c r="J272" t="b">
        <v>1</v>
      </c>
      <c r="L272" t="str">
        <f t="shared" si="32"/>
        <v>SY11</v>
      </c>
      <c r="M272" t="str">
        <f t="shared" si="30"/>
        <v>SY</v>
      </c>
      <c r="N272" s="32">
        <f t="shared" si="31"/>
        <v>11</v>
      </c>
      <c r="O272" t="str">
        <f t="shared" si="33"/>
        <v>Manipulate Turn Meters 60+ times</v>
      </c>
    </row>
    <row r="273" spans="1:15" x14ac:dyDescent="0.3">
      <c r="A273" t="s">
        <v>310</v>
      </c>
      <c r="B273" t="str">
        <f t="shared" si="36"/>
        <v>SW</v>
      </c>
      <c r="C273">
        <f t="shared" si="34"/>
        <v>5</v>
      </c>
      <c r="D273" t="b">
        <f t="shared" si="35"/>
        <v>1</v>
      </c>
      <c r="G273" t="str">
        <v xml:space="preserve">Stage 12 Manipulate skill cooldowns 15+ times </v>
      </c>
      <c r="H273" t="str">
        <v>SY</v>
      </c>
      <c r="I273">
        <v>12</v>
      </c>
      <c r="J273" t="b">
        <v>1</v>
      </c>
      <c r="L273" t="str">
        <f t="shared" si="32"/>
        <v>SY12</v>
      </c>
      <c r="M273" t="str">
        <f t="shared" si="30"/>
        <v>SY</v>
      </c>
      <c r="N273" s="32">
        <f t="shared" si="31"/>
        <v>12</v>
      </c>
      <c r="O273" t="str">
        <f t="shared" si="33"/>
        <v>Manipulate skill cooldowns 15+ times</v>
      </c>
    </row>
    <row r="274" spans="1:15" x14ac:dyDescent="0.3">
      <c r="A274" t="s">
        <v>178</v>
      </c>
      <c r="B274" t="str">
        <f t="shared" si="36"/>
        <v>SW</v>
      </c>
      <c r="C274">
        <f t="shared" si="34"/>
        <v>6</v>
      </c>
      <c r="D274" t="b">
        <f t="shared" si="35"/>
        <v>1</v>
      </c>
      <c r="G274" t="str">
        <v xml:space="preserve">Stage 13 Manipulate buff or debuff duration 30+ times </v>
      </c>
      <c r="H274" t="str">
        <v>SY</v>
      </c>
      <c r="I274">
        <v>13</v>
      </c>
      <c r="J274" t="b">
        <v>1</v>
      </c>
      <c r="L274" t="str">
        <f t="shared" si="32"/>
        <v>SY13</v>
      </c>
      <c r="M274" t="str">
        <f t="shared" si="30"/>
        <v>SY</v>
      </c>
      <c r="N274" s="32">
        <f t="shared" si="31"/>
        <v>13</v>
      </c>
      <c r="O274" t="str">
        <f t="shared" si="33"/>
        <v>Manipulate buff or debuff duration 30+ times</v>
      </c>
    </row>
    <row r="275" spans="1:15" x14ac:dyDescent="0.3">
      <c r="A275" t="s">
        <v>167</v>
      </c>
      <c r="B275" t="str">
        <f t="shared" si="36"/>
        <v>SW</v>
      </c>
      <c r="C275">
        <f t="shared" si="34"/>
        <v>7</v>
      </c>
      <c r="D275" t="b">
        <f t="shared" si="35"/>
        <v>1</v>
      </c>
      <c r="G275" t="str">
        <v xml:space="preserve">Stage 14 Clear  in 150 turns </v>
      </c>
      <c r="H275" t="str">
        <v>SY</v>
      </c>
      <c r="I275">
        <v>14</v>
      </c>
      <c r="J275" t="b">
        <v>1</v>
      </c>
      <c r="L275" t="str">
        <f t="shared" si="32"/>
        <v>SY14</v>
      </c>
      <c r="M275" t="str">
        <f t="shared" si="30"/>
        <v>SY</v>
      </c>
      <c r="N275" s="32">
        <f t="shared" si="31"/>
        <v>14</v>
      </c>
      <c r="O275" t="str">
        <f t="shared" si="33"/>
        <v>Clear in 150 turns</v>
      </c>
    </row>
    <row r="276" spans="1:15" x14ac:dyDescent="0.3">
      <c r="A276" t="s">
        <v>200</v>
      </c>
      <c r="B276" t="str">
        <f t="shared" si="36"/>
        <v>SW</v>
      </c>
      <c r="C276">
        <f t="shared" si="34"/>
        <v>8</v>
      </c>
      <c r="D276" t="b">
        <f t="shared" si="35"/>
        <v>1</v>
      </c>
      <c r="G276" t="str">
        <v xml:space="preserve">Stage 15 Beat  with all Champions alive at all times </v>
      </c>
      <c r="H276" t="str">
        <v>SY</v>
      </c>
      <c r="I276">
        <v>15</v>
      </c>
      <c r="J276" t="b">
        <v>1</v>
      </c>
      <c r="L276" t="str">
        <f t="shared" si="32"/>
        <v>SY15</v>
      </c>
      <c r="M276" t="str">
        <f t="shared" si="30"/>
        <v>SY</v>
      </c>
      <c r="N276" s="32">
        <f t="shared" si="31"/>
        <v>15</v>
      </c>
      <c r="O276" t="str">
        <f t="shared" si="33"/>
        <v>Beat with all Champions alive at all times</v>
      </c>
    </row>
    <row r="277" spans="1:15" x14ac:dyDescent="0.3">
      <c r="A277" t="s">
        <v>168</v>
      </c>
      <c r="B277" t="str">
        <f t="shared" si="36"/>
        <v>SW</v>
      </c>
      <c r="C277">
        <f t="shared" si="34"/>
        <v>9</v>
      </c>
      <c r="D277" t="b">
        <f t="shared" si="35"/>
        <v>1</v>
      </c>
      <c r="G277" t="str">
        <v xml:space="preserve">Stage 16 Defeat 3+ using Ally Attack skills or counterattacks </v>
      </c>
      <c r="H277" t="str">
        <v>SY</v>
      </c>
      <c r="I277">
        <v>16</v>
      </c>
      <c r="J277" t="b">
        <v>1</v>
      </c>
      <c r="L277" t="str">
        <f t="shared" si="32"/>
        <v>SY16</v>
      </c>
      <c r="M277" t="str">
        <f t="shared" si="30"/>
        <v>SY</v>
      </c>
      <c r="N277" s="32">
        <f t="shared" si="31"/>
        <v>16</v>
      </c>
      <c r="O277" t="str">
        <f t="shared" si="33"/>
        <v>Defeat 3+ using Ally Attack skills or counterattacks</v>
      </c>
    </row>
    <row r="278" spans="1:15" x14ac:dyDescent="0.3">
      <c r="A278" t="s">
        <v>169</v>
      </c>
      <c r="B278" t="str">
        <f t="shared" si="36"/>
        <v>SW</v>
      </c>
      <c r="C278">
        <f t="shared" si="34"/>
        <v>10</v>
      </c>
      <c r="D278" t="b">
        <f t="shared" si="35"/>
        <v>1</v>
      </c>
      <c r="G278" t="str">
        <v xml:space="preserve">Stage 17 Dont land any weak hits </v>
      </c>
      <c r="H278" t="str">
        <v>SY</v>
      </c>
      <c r="I278">
        <v>17</v>
      </c>
      <c r="J278" t="b">
        <v>1</v>
      </c>
      <c r="L278" t="str">
        <f t="shared" si="32"/>
        <v>SY17</v>
      </c>
      <c r="M278" t="str">
        <f t="shared" si="30"/>
        <v>SY</v>
      </c>
      <c r="N278" s="32">
        <f t="shared" si="31"/>
        <v>17</v>
      </c>
      <c r="O278" t="str">
        <f t="shared" si="33"/>
        <v>Dont land any weak hits</v>
      </c>
    </row>
    <row r="279" spans="1:15" x14ac:dyDescent="0.3">
      <c r="A279" t="s">
        <v>201</v>
      </c>
      <c r="B279" t="str">
        <f t="shared" si="36"/>
        <v>SW</v>
      </c>
      <c r="C279">
        <f t="shared" si="34"/>
        <v>11</v>
      </c>
      <c r="D279" t="b">
        <f t="shared" si="35"/>
        <v>1</v>
      </c>
      <c r="G279" t="str">
        <v xml:space="preserve">Stage 18 Place 4+ Taunt buffs </v>
      </c>
      <c r="H279" t="str">
        <v>SY</v>
      </c>
      <c r="I279">
        <v>18</v>
      </c>
      <c r="J279" t="b">
        <v>1</v>
      </c>
      <c r="L279" t="str">
        <f t="shared" si="32"/>
        <v>SY18</v>
      </c>
      <c r="M279" t="str">
        <f t="shared" si="30"/>
        <v>SY</v>
      </c>
      <c r="N279" s="32">
        <f t="shared" si="31"/>
        <v>18</v>
      </c>
      <c r="O279" t="str">
        <f t="shared" si="33"/>
        <v>Place 4+ Taunt buffs</v>
      </c>
    </row>
    <row r="280" spans="1:15" x14ac:dyDescent="0.3">
      <c r="A280" t="s">
        <v>302</v>
      </c>
      <c r="B280" t="str">
        <f t="shared" si="36"/>
        <v>SW</v>
      </c>
      <c r="C280">
        <f t="shared" si="34"/>
        <v>12</v>
      </c>
      <c r="D280" t="b">
        <f t="shared" si="35"/>
        <v>1</v>
      </c>
      <c r="G280" t="str">
        <v xml:space="preserve">Stage 19 Defeat 3+ while your Champions are under 7 or more buffs </v>
      </c>
      <c r="H280" t="str">
        <v>SY</v>
      </c>
      <c r="I280">
        <v>19</v>
      </c>
      <c r="J280" t="b">
        <v>1</v>
      </c>
      <c r="L280" t="str">
        <f t="shared" si="32"/>
        <v>SY19</v>
      </c>
      <c r="M280" t="str">
        <f t="shared" si="30"/>
        <v>SY</v>
      </c>
      <c r="N280" s="32">
        <f t="shared" si="31"/>
        <v>19</v>
      </c>
      <c r="O280" t="str">
        <f t="shared" si="33"/>
        <v>Defeat 3+ while your Champions are under 7 or more buffs</v>
      </c>
    </row>
    <row r="281" spans="1:15" x14ac:dyDescent="0.3">
      <c r="A281" t="s">
        <v>313</v>
      </c>
      <c r="B281" t="str">
        <f t="shared" si="36"/>
        <v>SW</v>
      </c>
      <c r="C281">
        <f t="shared" si="34"/>
        <v>13</v>
      </c>
      <c r="D281" t="b">
        <f t="shared" si="35"/>
        <v>1</v>
      </c>
      <c r="G281" t="str">
        <v>Stage 20 Keep all your Champions HP above 75%</v>
      </c>
      <c r="H281" t="str">
        <v>SY</v>
      </c>
      <c r="I281">
        <v>20</v>
      </c>
      <c r="J281" t="b">
        <v>1</v>
      </c>
      <c r="L281" t="str">
        <f t="shared" si="32"/>
        <v>SY20</v>
      </c>
      <c r="M281" t="str">
        <f t="shared" si="30"/>
        <v>SY</v>
      </c>
      <c r="N281" s="32">
        <f t="shared" si="31"/>
        <v>20</v>
      </c>
      <c r="O281" t="str">
        <f t="shared" si="33"/>
        <v>Keep all your Champions HP above 75%</v>
      </c>
    </row>
    <row r="282" spans="1:15" x14ac:dyDescent="0.3">
      <c r="A282" t="s">
        <v>195</v>
      </c>
      <c r="B282" t="str">
        <f t="shared" si="36"/>
        <v>SW</v>
      </c>
      <c r="C282">
        <f t="shared" si="34"/>
        <v>14</v>
      </c>
      <c r="D282" t="b">
        <f t="shared" si="35"/>
        <v>1</v>
      </c>
      <c r="G282" t="str">
        <v xml:space="preserve">Stage 1 Place 20+ Poison debuffs </v>
      </c>
      <c r="H282" t="str">
        <v>UH</v>
      </c>
      <c r="I282">
        <v>1</v>
      </c>
      <c r="J282" t="b">
        <v>1</v>
      </c>
      <c r="L282" t="str">
        <f t="shared" si="32"/>
        <v>UH1</v>
      </c>
      <c r="M282" t="str">
        <f t="shared" si="30"/>
        <v>UH</v>
      </c>
      <c r="N282" s="32">
        <f t="shared" si="31"/>
        <v>1</v>
      </c>
      <c r="O282" t="str">
        <f t="shared" si="33"/>
        <v>Place 20+ Poison debuffs</v>
      </c>
    </row>
    <row r="283" spans="1:15" x14ac:dyDescent="0.3">
      <c r="A283" t="s">
        <v>172</v>
      </c>
      <c r="B283" t="str">
        <f t="shared" si="36"/>
        <v>SW</v>
      </c>
      <c r="C283">
        <f t="shared" si="34"/>
        <v>15</v>
      </c>
      <c r="D283" t="b">
        <f t="shared" si="35"/>
        <v>1</v>
      </c>
      <c r="G283" t="str">
        <v xml:space="preserve">Stage 2 Land 40+ hits on while they are under Leech debuffs </v>
      </c>
      <c r="H283" t="str">
        <v>UH</v>
      </c>
      <c r="I283">
        <v>2</v>
      </c>
      <c r="J283" t="b">
        <v>1</v>
      </c>
      <c r="L283" t="str">
        <f t="shared" si="32"/>
        <v>UH2</v>
      </c>
      <c r="M283" t="str">
        <f t="shared" si="30"/>
        <v>UH</v>
      </c>
      <c r="N283" s="32">
        <f t="shared" si="31"/>
        <v>2</v>
      </c>
      <c r="O283" t="str">
        <f t="shared" si="33"/>
        <v>Land 40+ hits on while they are under Leech debuffs</v>
      </c>
    </row>
    <row r="284" spans="1:15" x14ac:dyDescent="0.3">
      <c r="A284" t="s">
        <v>196</v>
      </c>
      <c r="B284" t="str">
        <f t="shared" si="36"/>
        <v>SW</v>
      </c>
      <c r="C284">
        <f t="shared" si="34"/>
        <v>16</v>
      </c>
      <c r="D284" t="b">
        <f t="shared" si="35"/>
        <v>1</v>
      </c>
      <c r="G284" t="str">
        <v xml:space="preserve">Stage 3 Place 10+ Stun debuffs </v>
      </c>
      <c r="H284" t="str">
        <v>UH</v>
      </c>
      <c r="I284">
        <v>3</v>
      </c>
      <c r="J284" t="b">
        <v>1</v>
      </c>
      <c r="L284" t="str">
        <f t="shared" si="32"/>
        <v>UH3</v>
      </c>
      <c r="M284" t="str">
        <f t="shared" si="30"/>
        <v>UH</v>
      </c>
      <c r="N284" s="32">
        <f t="shared" si="31"/>
        <v>3</v>
      </c>
      <c r="O284" t="str">
        <f t="shared" si="33"/>
        <v>Place 10+ Stun debuffs</v>
      </c>
    </row>
    <row r="285" spans="1:15" x14ac:dyDescent="0.3">
      <c r="A285" t="s">
        <v>261</v>
      </c>
      <c r="B285" t="str">
        <f t="shared" si="36"/>
        <v>SW</v>
      </c>
      <c r="C285">
        <f t="shared" si="34"/>
        <v>17</v>
      </c>
      <c r="D285" t="b">
        <f t="shared" si="35"/>
        <v>1</v>
      </c>
      <c r="G285" t="str">
        <v xml:space="preserve">Stage 4 Place 10+ Provoke debuffs </v>
      </c>
      <c r="H285" t="str">
        <v>UH</v>
      </c>
      <c r="I285">
        <v>4</v>
      </c>
      <c r="J285" t="b">
        <v>1</v>
      </c>
      <c r="L285" t="str">
        <f t="shared" si="32"/>
        <v>UH4</v>
      </c>
      <c r="M285" t="str">
        <f t="shared" si="30"/>
        <v>UH</v>
      </c>
      <c r="N285" s="32">
        <f t="shared" si="31"/>
        <v>4</v>
      </c>
      <c r="O285" t="str">
        <f t="shared" si="33"/>
        <v>Place 10+ Provoke debuffs</v>
      </c>
    </row>
    <row r="286" spans="1:15" x14ac:dyDescent="0.3">
      <c r="A286" t="s">
        <v>315</v>
      </c>
      <c r="B286" t="str">
        <f t="shared" si="36"/>
        <v>SW</v>
      </c>
      <c r="C286">
        <f t="shared" si="34"/>
        <v>18</v>
      </c>
      <c r="D286" t="b">
        <f t="shared" si="35"/>
        <v>1</v>
      </c>
      <c r="G286" t="str">
        <v xml:space="preserve">Stage 5 Place 10+ Sleep debuffs </v>
      </c>
      <c r="H286" t="str">
        <v>UH</v>
      </c>
      <c r="I286">
        <v>5</v>
      </c>
      <c r="J286" t="b">
        <v>1</v>
      </c>
      <c r="L286" t="str">
        <f t="shared" si="32"/>
        <v>UH5</v>
      </c>
      <c r="M286" t="str">
        <f t="shared" si="30"/>
        <v>UH</v>
      </c>
      <c r="N286" s="32">
        <f t="shared" si="31"/>
        <v>5</v>
      </c>
      <c r="O286" t="str">
        <f t="shared" si="33"/>
        <v>Place 10+ Sleep debuffs</v>
      </c>
    </row>
    <row r="287" spans="1:15" x14ac:dyDescent="0.3">
      <c r="A287" t="s">
        <v>350</v>
      </c>
      <c r="B287" t="str">
        <f t="shared" si="36"/>
        <v>SW</v>
      </c>
      <c r="C287">
        <f t="shared" si="34"/>
        <v>19</v>
      </c>
      <c r="D287" t="b">
        <f t="shared" si="35"/>
        <v>1</v>
      </c>
      <c r="G287" t="str">
        <v xml:space="preserve">Stage 6 Manipulate Turn Meters 40+ times </v>
      </c>
      <c r="H287" t="str">
        <v>UH</v>
      </c>
      <c r="I287">
        <v>6</v>
      </c>
      <c r="J287" t="b">
        <v>1</v>
      </c>
      <c r="L287" t="str">
        <f t="shared" si="32"/>
        <v>UH6</v>
      </c>
      <c r="M287" t="str">
        <f t="shared" si="30"/>
        <v>UH</v>
      </c>
      <c r="N287" s="32">
        <f t="shared" si="31"/>
        <v>6</v>
      </c>
      <c r="O287" t="str">
        <f t="shared" si="33"/>
        <v>Manipulate Turn Meters 40+ times</v>
      </c>
    </row>
    <row r="288" spans="1:15" x14ac:dyDescent="0.3">
      <c r="A288" t="s">
        <v>324</v>
      </c>
      <c r="B288" t="str">
        <f t="shared" si="36"/>
        <v>SW</v>
      </c>
      <c r="C288">
        <f t="shared" si="34"/>
        <v>20</v>
      </c>
      <c r="D288" t="b">
        <f t="shared" si="35"/>
        <v>1</v>
      </c>
      <c r="G288" t="str">
        <v xml:space="preserve">Stage 7 Clear  in 100 turns </v>
      </c>
      <c r="H288" t="str">
        <v>UH</v>
      </c>
      <c r="I288">
        <v>7</v>
      </c>
      <c r="J288" t="b">
        <v>1</v>
      </c>
      <c r="L288" t="str">
        <f t="shared" si="32"/>
        <v>UH7</v>
      </c>
      <c r="M288" t="str">
        <f t="shared" si="30"/>
        <v>UH</v>
      </c>
      <c r="N288" s="32">
        <f t="shared" si="31"/>
        <v>7</v>
      </c>
      <c r="O288" t="str">
        <f t="shared" si="33"/>
        <v>Clear in 100 turns</v>
      </c>
    </row>
    <row r="289" spans="1:15" x14ac:dyDescent="0.3">
      <c r="A289" t="s">
        <v>161</v>
      </c>
      <c r="B289" t="str">
        <f t="shared" si="36"/>
        <v>SY</v>
      </c>
      <c r="C289">
        <f t="shared" si="34"/>
        <v>0</v>
      </c>
      <c r="D289" t="str">
        <f t="shared" si="35"/>
        <v/>
      </c>
      <c r="G289" t="str">
        <v xml:space="preserve">Stage 8 Land 60+ hits on while they are under Leech debuffs </v>
      </c>
      <c r="H289" t="str">
        <v>UH</v>
      </c>
      <c r="I289">
        <v>8</v>
      </c>
      <c r="J289" t="b">
        <v>1</v>
      </c>
      <c r="L289" t="str">
        <f t="shared" si="32"/>
        <v>UH8</v>
      </c>
      <c r="M289" t="str">
        <f t="shared" si="30"/>
        <v>UH</v>
      </c>
      <c r="N289" s="32">
        <f t="shared" si="31"/>
        <v>8</v>
      </c>
      <c r="O289" t="str">
        <f t="shared" si="33"/>
        <v>Land 60+ hits on while they are under Leech debuffs</v>
      </c>
    </row>
    <row r="290" spans="1:15" x14ac:dyDescent="0.3">
      <c r="B290" t="str">
        <f t="shared" si="36"/>
        <v>SY</v>
      </c>
      <c r="C290">
        <f t="shared" si="34"/>
        <v>0</v>
      </c>
      <c r="D290" t="str">
        <f t="shared" si="35"/>
        <v/>
      </c>
      <c r="G290" t="str">
        <v xml:space="preserve">Stage 9 Defeat all when they have no buffs on them </v>
      </c>
      <c r="H290" t="str">
        <v>UH</v>
      </c>
      <c r="I290">
        <v>9</v>
      </c>
      <c r="J290" t="b">
        <v>1</v>
      </c>
      <c r="L290" t="str">
        <f t="shared" si="32"/>
        <v>UH9</v>
      </c>
      <c r="M290" t="str">
        <f t="shared" si="30"/>
        <v>UH</v>
      </c>
      <c r="N290" s="32">
        <f t="shared" si="31"/>
        <v>9</v>
      </c>
      <c r="O290" t="str">
        <f t="shared" si="33"/>
        <v>Defeat all when they have no buffs on them</v>
      </c>
    </row>
    <row r="291" spans="1:15" x14ac:dyDescent="0.3">
      <c r="A291" t="s">
        <v>202</v>
      </c>
      <c r="B291" t="str">
        <f t="shared" si="36"/>
        <v>SY</v>
      </c>
      <c r="C291">
        <f t="shared" si="34"/>
        <v>1</v>
      </c>
      <c r="D291" t="b">
        <f t="shared" si="35"/>
        <v>1</v>
      </c>
      <c r="G291" t="str">
        <v xml:space="preserve">Stage 10 Use at least 3 Epic Champions </v>
      </c>
      <c r="H291" t="str">
        <v>UH</v>
      </c>
      <c r="I291">
        <v>10</v>
      </c>
      <c r="J291" t="b">
        <v>1</v>
      </c>
      <c r="L291" t="str">
        <f t="shared" si="32"/>
        <v>UH10</v>
      </c>
      <c r="M291" t="str">
        <f t="shared" si="30"/>
        <v>UH</v>
      </c>
      <c r="N291" s="32">
        <f t="shared" si="31"/>
        <v>10</v>
      </c>
      <c r="O291" t="str">
        <f t="shared" si="33"/>
        <v>Use at least 3 Epic Champions</v>
      </c>
    </row>
    <row r="292" spans="1:15" x14ac:dyDescent="0.3">
      <c r="A292" t="s">
        <v>175</v>
      </c>
      <c r="B292" t="str">
        <f t="shared" si="36"/>
        <v>SY</v>
      </c>
      <c r="C292">
        <f t="shared" si="34"/>
        <v>2</v>
      </c>
      <c r="D292" t="b">
        <f t="shared" si="35"/>
        <v>1</v>
      </c>
      <c r="G292" t="str">
        <v xml:space="preserve">Stage 11 Place 15+ Stun debuffs </v>
      </c>
      <c r="H292" t="str">
        <v>UH</v>
      </c>
      <c r="I292">
        <v>11</v>
      </c>
      <c r="J292" t="b">
        <v>1</v>
      </c>
      <c r="L292" t="str">
        <f t="shared" si="32"/>
        <v>UH11</v>
      </c>
      <c r="M292" t="str">
        <f t="shared" si="30"/>
        <v>UH</v>
      </c>
      <c r="N292" s="32">
        <f t="shared" si="31"/>
        <v>11</v>
      </c>
      <c r="O292" t="str">
        <f t="shared" si="33"/>
        <v>Place 15+ Stun debuffs</v>
      </c>
    </row>
    <row r="293" spans="1:15" x14ac:dyDescent="0.3">
      <c r="A293" t="s">
        <v>203</v>
      </c>
      <c r="B293" t="str">
        <f t="shared" si="36"/>
        <v>SY</v>
      </c>
      <c r="C293">
        <f t="shared" si="34"/>
        <v>3</v>
      </c>
      <c r="D293" t="b">
        <f t="shared" si="35"/>
        <v>1</v>
      </c>
      <c r="G293" t="str">
        <v xml:space="preserve">Stage 12 Place 15+ Provoke debuffs </v>
      </c>
      <c r="H293" t="str">
        <v>UH</v>
      </c>
      <c r="I293">
        <v>12</v>
      </c>
      <c r="J293" t="b">
        <v>1</v>
      </c>
      <c r="L293" t="str">
        <f t="shared" si="32"/>
        <v>UH12</v>
      </c>
      <c r="M293" t="str">
        <f t="shared" si="30"/>
        <v>UH</v>
      </c>
      <c r="N293" s="32">
        <f t="shared" si="31"/>
        <v>12</v>
      </c>
      <c r="O293" t="str">
        <f t="shared" si="33"/>
        <v>Place 15+ Provoke debuffs</v>
      </c>
    </row>
    <row r="294" spans="1:15" x14ac:dyDescent="0.3">
      <c r="A294" t="s">
        <v>166</v>
      </c>
      <c r="B294" t="str">
        <f t="shared" si="36"/>
        <v>SY</v>
      </c>
      <c r="C294">
        <f t="shared" si="34"/>
        <v>4</v>
      </c>
      <c r="D294" t="b">
        <f t="shared" si="35"/>
        <v>1</v>
      </c>
      <c r="G294" t="str">
        <v xml:space="preserve">Stage 13 Place 15+ Sleep debuffs </v>
      </c>
      <c r="H294" t="str">
        <v>UH</v>
      </c>
      <c r="I294">
        <v>13</v>
      </c>
      <c r="J294" t="b">
        <v>1</v>
      </c>
      <c r="L294" t="str">
        <f t="shared" si="32"/>
        <v>UH13</v>
      </c>
      <c r="M294" t="str">
        <f t="shared" si="30"/>
        <v>UH</v>
      </c>
      <c r="N294" s="32">
        <f t="shared" si="31"/>
        <v>13</v>
      </c>
      <c r="O294" t="str">
        <f t="shared" si="33"/>
        <v>Place 15+ Sleep debuffs</v>
      </c>
    </row>
    <row r="295" spans="1:15" x14ac:dyDescent="0.3">
      <c r="A295" t="s">
        <v>204</v>
      </c>
      <c r="B295" t="str">
        <f t="shared" si="36"/>
        <v>SY</v>
      </c>
      <c r="C295">
        <f t="shared" si="34"/>
        <v>5</v>
      </c>
      <c r="D295" t="b">
        <f t="shared" si="35"/>
        <v>1</v>
      </c>
      <c r="G295" t="str">
        <v xml:space="preserve">Stage 14 Clear  in 150 turns </v>
      </c>
      <c r="H295" t="str">
        <v>UH</v>
      </c>
      <c r="I295">
        <v>14</v>
      </c>
      <c r="J295" t="b">
        <v>1</v>
      </c>
      <c r="L295" t="str">
        <f t="shared" si="32"/>
        <v>UH14</v>
      </c>
      <c r="M295" t="str">
        <f t="shared" si="30"/>
        <v>UH</v>
      </c>
      <c r="N295" s="32">
        <f t="shared" si="31"/>
        <v>14</v>
      </c>
      <c r="O295" t="str">
        <f t="shared" si="33"/>
        <v>Clear in 150 turns</v>
      </c>
    </row>
    <row r="296" spans="1:15" x14ac:dyDescent="0.3">
      <c r="A296" t="s">
        <v>178</v>
      </c>
      <c r="B296" t="str">
        <f t="shared" si="36"/>
        <v>SY</v>
      </c>
      <c r="C296">
        <f t="shared" si="34"/>
        <v>6</v>
      </c>
      <c r="D296" t="b">
        <f t="shared" si="35"/>
        <v>1</v>
      </c>
      <c r="G296" t="str">
        <v xml:space="preserve">Stage 15 Beat  with all Champions alive at all times </v>
      </c>
      <c r="H296" t="str">
        <v>UH</v>
      </c>
      <c r="I296">
        <v>15</v>
      </c>
      <c r="J296" t="b">
        <v>1</v>
      </c>
      <c r="L296" t="str">
        <f t="shared" si="32"/>
        <v>UH15</v>
      </c>
      <c r="M296" t="str">
        <f t="shared" si="30"/>
        <v>UH</v>
      </c>
      <c r="N296" s="32">
        <f t="shared" si="31"/>
        <v>15</v>
      </c>
      <c r="O296" t="str">
        <f t="shared" si="33"/>
        <v>Beat with all Champions alive at all times</v>
      </c>
    </row>
    <row r="297" spans="1:15" x14ac:dyDescent="0.3">
      <c r="A297" t="s">
        <v>167</v>
      </c>
      <c r="B297" t="str">
        <f t="shared" si="36"/>
        <v>SY</v>
      </c>
      <c r="C297">
        <f t="shared" si="34"/>
        <v>7</v>
      </c>
      <c r="D297" t="b">
        <f t="shared" si="35"/>
        <v>1</v>
      </c>
      <c r="G297" t="str">
        <v xml:space="preserve">Stage 16 Defeat 3+ using Ally Attack skills or counterattacks </v>
      </c>
      <c r="H297" t="str">
        <v>UH</v>
      </c>
      <c r="I297">
        <v>16</v>
      </c>
      <c r="J297" t="b">
        <v>1</v>
      </c>
      <c r="L297" t="str">
        <f t="shared" si="32"/>
        <v>UH16</v>
      </c>
      <c r="M297" t="str">
        <f t="shared" si="30"/>
        <v>UH</v>
      </c>
      <c r="N297" s="32">
        <f t="shared" si="31"/>
        <v>16</v>
      </c>
      <c r="O297" t="str">
        <f t="shared" si="33"/>
        <v>Defeat 3+ using Ally Attack skills or counterattacks</v>
      </c>
    </row>
    <row r="298" spans="1:15" x14ac:dyDescent="0.3">
      <c r="A298" t="s">
        <v>190</v>
      </c>
      <c r="B298" t="str">
        <f t="shared" si="36"/>
        <v>SY</v>
      </c>
      <c r="C298">
        <f t="shared" si="34"/>
        <v>8</v>
      </c>
      <c r="D298" t="b">
        <f t="shared" si="35"/>
        <v>1</v>
      </c>
      <c r="G298" t="str">
        <v xml:space="preserve">Stage 17 Dont land any weak hits </v>
      </c>
      <c r="H298" t="str">
        <v>UH</v>
      </c>
      <c r="I298">
        <v>17</v>
      </c>
      <c r="J298" t="b">
        <v>1</v>
      </c>
      <c r="L298" t="str">
        <f t="shared" si="32"/>
        <v>UH17</v>
      </c>
      <c r="M298" t="str">
        <f t="shared" si="30"/>
        <v>UH</v>
      </c>
      <c r="N298" s="32">
        <f t="shared" si="31"/>
        <v>17</v>
      </c>
      <c r="O298" t="str">
        <f t="shared" si="33"/>
        <v>Dont land any weak hits</v>
      </c>
    </row>
    <row r="299" spans="1:15" x14ac:dyDescent="0.3">
      <c r="A299" t="s">
        <v>179</v>
      </c>
      <c r="B299" t="str">
        <f t="shared" si="36"/>
        <v>SY</v>
      </c>
      <c r="C299">
        <f t="shared" si="34"/>
        <v>9</v>
      </c>
      <c r="D299" t="b">
        <f t="shared" si="35"/>
        <v>1</v>
      </c>
      <c r="G299" t="str">
        <v xml:space="preserve">Stage 18 Defeat 10+ while they are under Fear/True Fear debuffs </v>
      </c>
      <c r="H299" t="str">
        <v>UH</v>
      </c>
      <c r="I299">
        <v>18</v>
      </c>
      <c r="J299" t="b">
        <v>1</v>
      </c>
      <c r="L299" t="str">
        <f t="shared" si="32"/>
        <v>UH18</v>
      </c>
      <c r="M299" t="str">
        <f t="shared" si="30"/>
        <v>UH</v>
      </c>
      <c r="N299" s="32">
        <f t="shared" si="31"/>
        <v>18</v>
      </c>
      <c r="O299" t="str">
        <f t="shared" si="33"/>
        <v>Defeat 10+ while they are under Fear/True Fear debuffs</v>
      </c>
    </row>
    <row r="300" spans="1:15" x14ac:dyDescent="0.3">
      <c r="A300" t="s">
        <v>169</v>
      </c>
      <c r="B300" t="str">
        <f t="shared" si="36"/>
        <v>SY</v>
      </c>
      <c r="C300">
        <f t="shared" si="34"/>
        <v>10</v>
      </c>
      <c r="D300" t="b">
        <f t="shared" si="35"/>
        <v>1</v>
      </c>
      <c r="G300" t="str">
        <v xml:space="preserve">Stage 19 Dont let enemies use any active skills </v>
      </c>
      <c r="H300" t="str">
        <v>UH</v>
      </c>
      <c r="I300">
        <v>19</v>
      </c>
      <c r="J300" t="b">
        <v>1</v>
      </c>
      <c r="L300" t="str">
        <f t="shared" si="32"/>
        <v>UH19</v>
      </c>
      <c r="M300" t="str">
        <f t="shared" si="30"/>
        <v>UH</v>
      </c>
      <c r="N300" s="32">
        <f t="shared" si="31"/>
        <v>19</v>
      </c>
      <c r="O300" t="str">
        <f t="shared" si="33"/>
        <v>Dont let enemies use any active skills</v>
      </c>
    </row>
    <row r="301" spans="1:15" x14ac:dyDescent="0.3">
      <c r="A301" t="s">
        <v>205</v>
      </c>
      <c r="B301" t="str">
        <f t="shared" si="36"/>
        <v>SY</v>
      </c>
      <c r="C301">
        <f t="shared" si="34"/>
        <v>11</v>
      </c>
      <c r="D301" t="b">
        <f t="shared" si="35"/>
        <v>1</v>
      </c>
      <c r="G301" t="str">
        <v>Stage 20 Dont let enemies heal</v>
      </c>
      <c r="H301" t="str">
        <v>UH</v>
      </c>
      <c r="I301">
        <v>20</v>
      </c>
      <c r="J301" t="b">
        <v>1</v>
      </c>
      <c r="L301" t="str">
        <f t="shared" si="32"/>
        <v>UH20</v>
      </c>
      <c r="M301" t="str">
        <f t="shared" si="30"/>
        <v>UH</v>
      </c>
      <c r="N301" s="32">
        <f t="shared" si="31"/>
        <v>20</v>
      </c>
      <c r="O301" t="str">
        <f t="shared" si="33"/>
        <v>Dont let enemies heal</v>
      </c>
    </row>
    <row r="302" spans="1:15" x14ac:dyDescent="0.3">
      <c r="A302" t="s">
        <v>181</v>
      </c>
      <c r="B302" t="str">
        <f t="shared" si="36"/>
        <v>SY</v>
      </c>
      <c r="C302">
        <f t="shared" si="34"/>
        <v>12</v>
      </c>
      <c r="D302" t="b">
        <f t="shared" si="35"/>
        <v>1</v>
      </c>
    </row>
    <row r="303" spans="1:15" x14ac:dyDescent="0.3">
      <c r="A303" t="s">
        <v>216</v>
      </c>
      <c r="B303" t="str">
        <f t="shared" si="36"/>
        <v>SY</v>
      </c>
      <c r="C303">
        <f t="shared" si="34"/>
        <v>13</v>
      </c>
      <c r="D303" t="b">
        <f t="shared" si="35"/>
        <v>1</v>
      </c>
    </row>
    <row r="304" spans="1:15" x14ac:dyDescent="0.3">
      <c r="A304" t="s">
        <v>195</v>
      </c>
      <c r="B304" t="str">
        <f t="shared" si="36"/>
        <v>SY</v>
      </c>
      <c r="C304">
        <f t="shared" si="34"/>
        <v>14</v>
      </c>
      <c r="D304" t="b">
        <f t="shared" si="35"/>
        <v>1</v>
      </c>
    </row>
    <row r="305" spans="1:4" x14ac:dyDescent="0.3">
      <c r="A305" t="s">
        <v>172</v>
      </c>
      <c r="B305" t="str">
        <f t="shared" si="36"/>
        <v>SY</v>
      </c>
      <c r="C305">
        <f t="shared" si="34"/>
        <v>15</v>
      </c>
      <c r="D305" t="b">
        <f t="shared" si="35"/>
        <v>1</v>
      </c>
    </row>
    <row r="306" spans="1:4" x14ac:dyDescent="0.3">
      <c r="A306" t="s">
        <v>292</v>
      </c>
      <c r="B306" t="str">
        <f t="shared" si="36"/>
        <v>SY</v>
      </c>
      <c r="C306">
        <f t="shared" si="34"/>
        <v>16</v>
      </c>
      <c r="D306" t="b">
        <f t="shared" si="35"/>
        <v>1</v>
      </c>
    </row>
    <row r="307" spans="1:4" x14ac:dyDescent="0.3">
      <c r="A307" t="s">
        <v>261</v>
      </c>
      <c r="B307" t="str">
        <f t="shared" si="36"/>
        <v>SY</v>
      </c>
      <c r="C307">
        <f t="shared" si="34"/>
        <v>17</v>
      </c>
      <c r="D307" t="b">
        <f t="shared" si="35"/>
        <v>1</v>
      </c>
    </row>
    <row r="308" spans="1:4" x14ac:dyDescent="0.3">
      <c r="A308" t="s">
        <v>206</v>
      </c>
      <c r="B308" t="str">
        <f t="shared" si="36"/>
        <v>SY</v>
      </c>
      <c r="C308">
        <f t="shared" si="34"/>
        <v>18</v>
      </c>
      <c r="D308" t="b">
        <f t="shared" si="35"/>
        <v>1</v>
      </c>
    </row>
    <row r="309" spans="1:4" x14ac:dyDescent="0.3">
      <c r="A309" t="s">
        <v>303</v>
      </c>
      <c r="B309" t="str">
        <f t="shared" si="36"/>
        <v>SY</v>
      </c>
      <c r="C309">
        <f t="shared" si="34"/>
        <v>19</v>
      </c>
      <c r="D309" t="b">
        <f t="shared" si="35"/>
        <v>1</v>
      </c>
    </row>
    <row r="310" spans="1:4" x14ac:dyDescent="0.3">
      <c r="A310" t="s">
        <v>262</v>
      </c>
      <c r="B310" t="str">
        <f t="shared" si="36"/>
        <v>SY</v>
      </c>
      <c r="C310">
        <f t="shared" si="34"/>
        <v>20</v>
      </c>
      <c r="D310" t="b">
        <f t="shared" si="35"/>
        <v>1</v>
      </c>
    </row>
    <row r="311" spans="1:4" x14ac:dyDescent="0.3">
      <c r="A311" t="s">
        <v>162</v>
      </c>
      <c r="B311" t="str">
        <f t="shared" si="36"/>
        <v>UH</v>
      </c>
      <c r="C311">
        <f t="shared" si="34"/>
        <v>0</v>
      </c>
      <c r="D311" t="str">
        <f t="shared" si="35"/>
        <v/>
      </c>
    </row>
    <row r="312" spans="1:4" x14ac:dyDescent="0.3">
      <c r="B312" t="str">
        <f t="shared" si="36"/>
        <v>UH</v>
      </c>
      <c r="C312">
        <f t="shared" si="34"/>
        <v>0</v>
      </c>
      <c r="D312" t="str">
        <f t="shared" si="35"/>
        <v/>
      </c>
    </row>
    <row r="313" spans="1:4" x14ac:dyDescent="0.3">
      <c r="A313" t="s">
        <v>174</v>
      </c>
      <c r="B313" t="str">
        <f t="shared" si="36"/>
        <v>UH</v>
      </c>
      <c r="C313">
        <f t="shared" si="34"/>
        <v>1</v>
      </c>
      <c r="D313" t="b">
        <f t="shared" si="35"/>
        <v>1</v>
      </c>
    </row>
    <row r="314" spans="1:4" x14ac:dyDescent="0.3">
      <c r="A314" t="s">
        <v>325</v>
      </c>
      <c r="B314" t="str">
        <f t="shared" si="36"/>
        <v>UH</v>
      </c>
      <c r="C314">
        <f t="shared" si="34"/>
        <v>2</v>
      </c>
      <c r="D314" t="b">
        <f t="shared" si="35"/>
        <v>1</v>
      </c>
    </row>
    <row r="315" spans="1:4" x14ac:dyDescent="0.3">
      <c r="A315" t="s">
        <v>165</v>
      </c>
      <c r="B315" t="str">
        <f t="shared" si="36"/>
        <v>UH</v>
      </c>
      <c r="C315">
        <f t="shared" si="34"/>
        <v>3</v>
      </c>
      <c r="D315" t="b">
        <f t="shared" si="35"/>
        <v>1</v>
      </c>
    </row>
    <row r="316" spans="1:4" x14ac:dyDescent="0.3">
      <c r="A316" t="s">
        <v>199</v>
      </c>
      <c r="B316" t="str">
        <f t="shared" si="36"/>
        <v>UH</v>
      </c>
      <c r="C316">
        <f t="shared" si="34"/>
        <v>4</v>
      </c>
      <c r="D316" t="b">
        <f t="shared" si="35"/>
        <v>1</v>
      </c>
    </row>
    <row r="317" spans="1:4" x14ac:dyDescent="0.3">
      <c r="A317" t="s">
        <v>220</v>
      </c>
      <c r="B317" t="str">
        <f t="shared" si="36"/>
        <v>UH</v>
      </c>
      <c r="C317">
        <f t="shared" si="34"/>
        <v>5</v>
      </c>
      <c r="D317" t="b">
        <f t="shared" si="35"/>
        <v>1</v>
      </c>
    </row>
    <row r="318" spans="1:4" x14ac:dyDescent="0.3">
      <c r="A318" t="s">
        <v>178</v>
      </c>
      <c r="B318" t="str">
        <f t="shared" si="36"/>
        <v>UH</v>
      </c>
      <c r="C318">
        <f t="shared" si="34"/>
        <v>6</v>
      </c>
      <c r="D318" t="b">
        <f t="shared" si="35"/>
        <v>1</v>
      </c>
    </row>
    <row r="319" spans="1:4" x14ac:dyDescent="0.3">
      <c r="A319" t="s">
        <v>167</v>
      </c>
      <c r="B319" t="str">
        <f t="shared" si="36"/>
        <v>UH</v>
      </c>
      <c r="C319">
        <f t="shared" si="34"/>
        <v>7</v>
      </c>
      <c r="D319" t="b">
        <f t="shared" si="35"/>
        <v>1</v>
      </c>
    </row>
    <row r="320" spans="1:4" x14ac:dyDescent="0.3">
      <c r="A320" t="s">
        <v>326</v>
      </c>
      <c r="B320" t="str">
        <f t="shared" si="36"/>
        <v>UH</v>
      </c>
      <c r="C320">
        <f t="shared" si="34"/>
        <v>8</v>
      </c>
      <c r="D320" t="b">
        <f t="shared" si="35"/>
        <v>1</v>
      </c>
    </row>
    <row r="321" spans="1:4" x14ac:dyDescent="0.3">
      <c r="A321" t="s">
        <v>327</v>
      </c>
      <c r="B321" t="str">
        <f t="shared" si="36"/>
        <v>UH</v>
      </c>
      <c r="C321">
        <f t="shared" si="34"/>
        <v>9</v>
      </c>
      <c r="D321" t="b">
        <f t="shared" si="35"/>
        <v>1</v>
      </c>
    </row>
    <row r="322" spans="1:4" x14ac:dyDescent="0.3">
      <c r="A322" t="s">
        <v>169</v>
      </c>
      <c r="B322" t="str">
        <f t="shared" si="36"/>
        <v>UH</v>
      </c>
      <c r="C322">
        <f t="shared" si="34"/>
        <v>10</v>
      </c>
      <c r="D322" t="b">
        <f t="shared" si="35"/>
        <v>1</v>
      </c>
    </row>
    <row r="323" spans="1:4" x14ac:dyDescent="0.3">
      <c r="A323" t="s">
        <v>214</v>
      </c>
      <c r="B323" t="str">
        <f t="shared" si="36"/>
        <v>UH</v>
      </c>
      <c r="C323">
        <f t="shared" si="34"/>
        <v>11</v>
      </c>
      <c r="D323" t="b">
        <f t="shared" si="35"/>
        <v>1</v>
      </c>
    </row>
    <row r="324" spans="1:4" x14ac:dyDescent="0.3">
      <c r="A324" t="s">
        <v>221</v>
      </c>
      <c r="B324" t="str">
        <f t="shared" si="36"/>
        <v>UH</v>
      </c>
      <c r="C324">
        <f t="shared" ref="C324:C332" si="37">IF(LEFT(A324,4)="Stag",INT(TRIM(MID(A324,7,2))), 0)</f>
        <v>12</v>
      </c>
      <c r="D324" t="b">
        <f t="shared" ref="D324:D332" si="38">IF(C324&lt;&gt;0, INT(C324)=C323+1, "")</f>
        <v>1</v>
      </c>
    </row>
    <row r="325" spans="1:4" x14ac:dyDescent="0.3">
      <c r="A325" t="s">
        <v>222</v>
      </c>
      <c r="B325" t="str">
        <f t="shared" ref="B325:B332" si="39">IF(LEFT(A325,5)="file=",MID(A325,7,2),B324)</f>
        <v>UH</v>
      </c>
      <c r="C325">
        <f t="shared" si="37"/>
        <v>13</v>
      </c>
      <c r="D325" t="b">
        <f t="shared" si="38"/>
        <v>1</v>
      </c>
    </row>
    <row r="326" spans="1:4" x14ac:dyDescent="0.3">
      <c r="A326" t="s">
        <v>195</v>
      </c>
      <c r="B326" t="str">
        <f t="shared" si="39"/>
        <v>UH</v>
      </c>
      <c r="C326">
        <f t="shared" si="37"/>
        <v>14</v>
      </c>
      <c r="D326" t="b">
        <f t="shared" si="38"/>
        <v>1</v>
      </c>
    </row>
    <row r="327" spans="1:4" x14ac:dyDescent="0.3">
      <c r="A327" t="s">
        <v>172</v>
      </c>
      <c r="B327" t="str">
        <f t="shared" si="39"/>
        <v>UH</v>
      </c>
      <c r="C327">
        <f t="shared" si="37"/>
        <v>15</v>
      </c>
      <c r="D327" t="b">
        <f t="shared" si="38"/>
        <v>1</v>
      </c>
    </row>
    <row r="328" spans="1:4" x14ac:dyDescent="0.3">
      <c r="A328" t="s">
        <v>292</v>
      </c>
      <c r="B328" t="str">
        <f t="shared" si="39"/>
        <v>UH</v>
      </c>
      <c r="C328">
        <f t="shared" si="37"/>
        <v>16</v>
      </c>
      <c r="D328" t="b">
        <f t="shared" si="38"/>
        <v>1</v>
      </c>
    </row>
    <row r="329" spans="1:4" x14ac:dyDescent="0.3">
      <c r="A329" t="s">
        <v>261</v>
      </c>
      <c r="B329" t="str">
        <f t="shared" si="39"/>
        <v>UH</v>
      </c>
      <c r="C329">
        <f t="shared" si="37"/>
        <v>17</v>
      </c>
      <c r="D329" t="b">
        <f t="shared" si="38"/>
        <v>1</v>
      </c>
    </row>
    <row r="330" spans="1:4" x14ac:dyDescent="0.3">
      <c r="A330" t="s">
        <v>328</v>
      </c>
      <c r="B330" t="str">
        <f t="shared" si="39"/>
        <v>UH</v>
      </c>
      <c r="C330">
        <f t="shared" si="37"/>
        <v>18</v>
      </c>
      <c r="D330" t="b">
        <f t="shared" si="38"/>
        <v>1</v>
      </c>
    </row>
    <row r="331" spans="1:4" x14ac:dyDescent="0.3">
      <c r="A331" t="s">
        <v>350</v>
      </c>
      <c r="B331" t="str">
        <f t="shared" si="39"/>
        <v>UH</v>
      </c>
      <c r="C331">
        <f t="shared" si="37"/>
        <v>19</v>
      </c>
      <c r="D331" t="b">
        <f t="shared" si="38"/>
        <v>1</v>
      </c>
    </row>
    <row r="332" spans="1:4" x14ac:dyDescent="0.3">
      <c r="A332" t="s">
        <v>352</v>
      </c>
      <c r="B332" t="str">
        <f t="shared" si="39"/>
        <v>UH</v>
      </c>
      <c r="C332">
        <f t="shared" si="37"/>
        <v>20</v>
      </c>
      <c r="D332" t="b">
        <f t="shared" si="38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625C7-C909-4E55-B41A-1778341ACB4A}">
  <sheetPr codeName="Sheet19"/>
  <dimension ref="A1:B48"/>
  <sheetViews>
    <sheetView workbookViewId="0">
      <selection activeCell="D17" sqref="D17"/>
    </sheetView>
  </sheetViews>
  <sheetFormatPr defaultRowHeight="14.4" x14ac:dyDescent="0.3"/>
  <cols>
    <col min="1" max="1" width="63.21875" bestFit="1" customWidth="1"/>
    <col min="2" max="2" width="24.44140625" bestFit="1" customWidth="1"/>
  </cols>
  <sheetData>
    <row r="1" spans="1:2" x14ac:dyDescent="0.3">
      <c r="A1" s="37" t="s">
        <v>41</v>
      </c>
      <c r="B1" s="37" t="s">
        <v>266</v>
      </c>
    </row>
    <row r="2" spans="1:2" x14ac:dyDescent="0.3">
      <c r="A2" t="str" cm="1">
        <f t="array" ref="A2:A48">_xlfn._xlws.SORT(_xlfn.UNIQUE( _xlfn._xlws.FILTER('Hard Conds'!O2:O301,'Hard Conds'!O2:O301 &lt;&gt;"condition") ))</f>
        <v>Beat with all Champions alive at all times</v>
      </c>
      <c r="B2" t="s">
        <v>273</v>
      </c>
    </row>
    <row r="3" spans="1:2" x14ac:dyDescent="0.3">
      <c r="A3" t="str">
        <v>Clear in 100 turns</v>
      </c>
      <c r="B3" t="s">
        <v>74</v>
      </c>
    </row>
    <row r="4" spans="1:2" x14ac:dyDescent="0.3">
      <c r="A4" t="str">
        <v>Clear in 150 turns</v>
      </c>
      <c r="B4" t="s">
        <v>74</v>
      </c>
    </row>
    <row r="5" spans="1:2" x14ac:dyDescent="0.3">
      <c r="A5" t="str">
        <v>Defeat 10+ using Bomb debuffs</v>
      </c>
      <c r="B5" t="s">
        <v>263</v>
      </c>
    </row>
    <row r="6" spans="1:2" x14ac:dyDescent="0.3">
      <c r="A6" t="str">
        <v>Defeat 10+ while they are under Fear/True Fear debuffs</v>
      </c>
      <c r="B6" t="s">
        <v>265</v>
      </c>
    </row>
    <row r="7" spans="1:2" x14ac:dyDescent="0.3">
      <c r="A7" t="str">
        <v>Defeat 10+ while your Champions are under Perfect Veil</v>
      </c>
      <c r="B7" t="s">
        <v>267</v>
      </c>
    </row>
    <row r="8" spans="1:2" x14ac:dyDescent="0.3">
      <c r="A8" t="str">
        <v>Defeat 3+ using Ally Attack skills or counterattacks</v>
      </c>
      <c r="B8" t="s">
        <v>79</v>
      </c>
    </row>
    <row r="9" spans="1:2" x14ac:dyDescent="0.3">
      <c r="A9" t="str">
        <v>Defeat 3+ while theyre under 10 debuffs</v>
      </c>
      <c r="B9" t="s">
        <v>121</v>
      </c>
    </row>
    <row r="10" spans="1:2" x14ac:dyDescent="0.3">
      <c r="A10" t="str">
        <v>Defeat 3+ while your Champions are under 7 or more buffs</v>
      </c>
      <c r="B10" t="s">
        <v>268</v>
      </c>
    </row>
    <row r="11" spans="1:2" x14ac:dyDescent="0.3">
      <c r="A11" t="str">
        <v>Defeat 4+ before they take a turn</v>
      </c>
      <c r="B11" t="s">
        <v>269</v>
      </c>
    </row>
    <row r="12" spans="1:2" x14ac:dyDescent="0.3">
      <c r="A12" t="str">
        <v>Defeat 5+ using Bomb debuffs</v>
      </c>
      <c r="B12" t="s">
        <v>263</v>
      </c>
    </row>
    <row r="13" spans="1:2" x14ac:dyDescent="0.3">
      <c r="A13" t="str">
        <v>Defeat 6+ while theyre under Hex debuffs</v>
      </c>
      <c r="B13" t="s">
        <v>264</v>
      </c>
    </row>
    <row r="14" spans="1:2" x14ac:dyDescent="0.3">
      <c r="A14" t="str">
        <v>Defeat all when they have no buffs on them</v>
      </c>
      <c r="B14" t="s">
        <v>353</v>
      </c>
    </row>
    <row r="15" spans="1:2" x14ac:dyDescent="0.3">
      <c r="A15" t="str">
        <v>Do not receive more than 10 debuffs</v>
      </c>
      <c r="B15" t="s">
        <v>354</v>
      </c>
    </row>
    <row r="16" spans="1:2" x14ac:dyDescent="0.3">
      <c r="A16" t="str">
        <v>Dont land any weak hits</v>
      </c>
      <c r="B16" t="s">
        <v>80</v>
      </c>
    </row>
    <row r="17" spans="1:2" x14ac:dyDescent="0.3">
      <c r="A17" t="str">
        <v>Dont let enemies heal</v>
      </c>
      <c r="B17" t="s">
        <v>270</v>
      </c>
    </row>
    <row r="18" spans="1:2" x14ac:dyDescent="0.3">
      <c r="A18" t="str">
        <v>Dont let enemies use any active skills</v>
      </c>
      <c r="B18" t="s">
        <v>271</v>
      </c>
    </row>
    <row r="19" spans="1:2" x14ac:dyDescent="0.3">
      <c r="A19" t="str">
        <v>Get an Extra Turn 5+ times</v>
      </c>
      <c r="B19" t="s">
        <v>82</v>
      </c>
    </row>
    <row r="20" spans="1:2" x14ac:dyDescent="0.3">
      <c r="A20" t="str">
        <v>Heal your Champions HP by 1000000+</v>
      </c>
      <c r="B20" t="s">
        <v>83</v>
      </c>
    </row>
    <row r="21" spans="1:2" x14ac:dyDescent="0.3">
      <c r="A21" t="str">
        <v>Heal your Champions HP by 500000+</v>
      </c>
      <c r="B21" t="s">
        <v>83</v>
      </c>
    </row>
    <row r="22" spans="1:2" x14ac:dyDescent="0.3">
      <c r="A22" t="str">
        <v>Keep all your Champions HP above 75%</v>
      </c>
      <c r="B22" t="s">
        <v>273</v>
      </c>
    </row>
    <row r="23" spans="1:2" x14ac:dyDescent="0.3">
      <c r="A23" t="str">
        <v>Land 40+ hits on while they are under Leech debuffs</v>
      </c>
      <c r="B23" t="s">
        <v>76</v>
      </c>
    </row>
    <row r="24" spans="1:2" x14ac:dyDescent="0.3">
      <c r="A24" t="str">
        <v>Land 60+ hits on while they are under Leech debuffs</v>
      </c>
      <c r="B24" t="s">
        <v>76</v>
      </c>
    </row>
    <row r="25" spans="1:2" x14ac:dyDescent="0.3">
      <c r="A25" t="str">
        <v>Manipulate buff or debuff duration 20+ times</v>
      </c>
      <c r="B25" t="s">
        <v>274</v>
      </c>
    </row>
    <row r="26" spans="1:2" x14ac:dyDescent="0.3">
      <c r="A26" t="str">
        <v>Manipulate buff or debuff duration 30+ times</v>
      </c>
      <c r="B26" t="s">
        <v>274</v>
      </c>
    </row>
    <row r="27" spans="1:2" x14ac:dyDescent="0.3">
      <c r="A27" t="str">
        <v>Manipulate skill cooldowns 10+ times</v>
      </c>
      <c r="B27" t="s">
        <v>275</v>
      </c>
    </row>
    <row r="28" spans="1:2" x14ac:dyDescent="0.3">
      <c r="A28" t="str">
        <v>Manipulate skill cooldowns 15+ times</v>
      </c>
      <c r="B28" t="s">
        <v>275</v>
      </c>
    </row>
    <row r="29" spans="1:2" x14ac:dyDescent="0.3">
      <c r="A29" t="str">
        <v>Manipulate Turn Meters 40+ times</v>
      </c>
      <c r="B29" t="s">
        <v>277</v>
      </c>
    </row>
    <row r="30" spans="1:2" x14ac:dyDescent="0.3">
      <c r="A30" t="str">
        <v>Manipulate Turn Meters 60+ times</v>
      </c>
      <c r="B30" t="s">
        <v>277</v>
      </c>
    </row>
    <row r="31" spans="1:2" x14ac:dyDescent="0.3">
      <c r="A31" t="str">
        <v>Place 10+ Block Revive debuffs</v>
      </c>
      <c r="B31" t="s">
        <v>272</v>
      </c>
    </row>
    <row r="32" spans="1:2" x14ac:dyDescent="0.3">
      <c r="A32" t="str">
        <v>Place 10+ Decrease SPD debuffs</v>
      </c>
      <c r="B32" t="s">
        <v>279</v>
      </c>
    </row>
    <row r="33" spans="1:2" x14ac:dyDescent="0.3">
      <c r="A33" t="str">
        <v>Place 10+ Freeze debuffs</v>
      </c>
      <c r="B33" t="s">
        <v>105</v>
      </c>
    </row>
    <row r="34" spans="1:2" x14ac:dyDescent="0.3">
      <c r="A34" t="str">
        <v>Place 10+ HP Burn debuffs</v>
      </c>
      <c r="B34" t="s">
        <v>280</v>
      </c>
    </row>
    <row r="35" spans="1:2" x14ac:dyDescent="0.3">
      <c r="A35" t="str">
        <v>Place 10+ Provoke debuffs</v>
      </c>
      <c r="B35" t="s">
        <v>70</v>
      </c>
    </row>
    <row r="36" spans="1:2" x14ac:dyDescent="0.3">
      <c r="A36" t="str">
        <v>Place 10+ Sleep debuffs</v>
      </c>
      <c r="B36" t="s">
        <v>278</v>
      </c>
    </row>
    <row r="37" spans="1:2" x14ac:dyDescent="0.3">
      <c r="A37" t="str">
        <v>Place 10+ Stun debuffs</v>
      </c>
      <c r="B37" t="s">
        <v>71</v>
      </c>
    </row>
    <row r="38" spans="1:2" x14ac:dyDescent="0.3">
      <c r="A38" t="str">
        <v>Place 15+ Freeze debuffs</v>
      </c>
      <c r="B38" t="s">
        <v>105</v>
      </c>
    </row>
    <row r="39" spans="1:2" x14ac:dyDescent="0.3">
      <c r="A39" t="str">
        <v>Place 15+ HP Burn debuffs</v>
      </c>
      <c r="B39" t="s">
        <v>280</v>
      </c>
    </row>
    <row r="40" spans="1:2" x14ac:dyDescent="0.3">
      <c r="A40" t="str">
        <v>Place 15+ Provoke debuffs</v>
      </c>
      <c r="B40" t="s">
        <v>70</v>
      </c>
    </row>
    <row r="41" spans="1:2" x14ac:dyDescent="0.3">
      <c r="A41" t="str">
        <v>Place 15+ Sleep debuffs</v>
      </c>
      <c r="B41" t="s">
        <v>278</v>
      </c>
    </row>
    <row r="42" spans="1:2" x14ac:dyDescent="0.3">
      <c r="A42" t="str">
        <v>Place 15+ Stun debuffs</v>
      </c>
      <c r="B42" t="s">
        <v>71</v>
      </c>
    </row>
    <row r="43" spans="1:2" x14ac:dyDescent="0.3">
      <c r="A43" t="str">
        <v>Place 20+ Poison debuffs</v>
      </c>
      <c r="B43" t="s">
        <v>136</v>
      </c>
    </row>
    <row r="44" spans="1:2" x14ac:dyDescent="0.3">
      <c r="A44" t="str">
        <v>Place 4+ Taunt buffs</v>
      </c>
      <c r="B44" t="s">
        <v>281</v>
      </c>
    </row>
    <row r="45" spans="1:2" x14ac:dyDescent="0.3">
      <c r="A45" t="str">
        <v>Place 5+ HP Burn debuffs</v>
      </c>
      <c r="B45" t="s">
        <v>137</v>
      </c>
    </row>
    <row r="46" spans="1:2" x14ac:dyDescent="0.3">
      <c r="A46" t="str">
        <v>Reduce 6+ HP by 50% with one skill</v>
      </c>
      <c r="B46" t="s">
        <v>282</v>
      </c>
    </row>
    <row r="47" spans="1:2" x14ac:dyDescent="0.3">
      <c r="A47" t="str">
        <v>Reduce 9+ HP by 50% with one skill</v>
      </c>
      <c r="B47" t="s">
        <v>282</v>
      </c>
    </row>
    <row r="48" spans="1:2" x14ac:dyDescent="0.3">
      <c r="A48" t="str">
        <v>Use at least 3 Epic Champions</v>
      </c>
      <c r="B48" t="s">
        <v>77</v>
      </c>
    </row>
  </sheetData>
  <sortState xmlns:xlrd2="http://schemas.microsoft.com/office/spreadsheetml/2017/richdata2" ref="A2:A301">
    <sortCondition ref="A2:A30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F156-C871-4177-8A98-BBED0436BE02}">
  <sheetPr codeName="Sheet2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BL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Reduce 6+ HP by 50% with one skill</v>
      </c>
      <c r="D4" s="19" t="str">
        <f ca="1">VLOOKUP(C4,'Unique Conds'!A:B,2,0)</f>
        <v>AOE Hard Hit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Provoke debuffs</v>
      </c>
      <c r="D5" s="19" t="str">
        <f ca="1">VLOOKUP(C5,'Unique Conds'!A:B,2,0)</f>
        <v>Provoke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Stun debuffs</v>
      </c>
      <c r="D6" s="19" t="str">
        <f ca="1">VLOOKUP(C6,'Unique Conds'!A:B,2,0)</f>
        <v>Stun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buff or debuff duration 20+ times</v>
      </c>
      <c r="D7" s="19" t="str">
        <f ca="1">VLOOKUP(C7,'Unique Conds'!A:B,2,0)</f>
        <v>De/Buff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Land 40+ hits on while they are under Leech debuffs</v>
      </c>
      <c r="D8" s="19" t="str">
        <f ca="1">VLOOKUP(C8,'Unique Conds'!A:B,2,0)</f>
        <v>Leach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Reduce 9+ HP by 50% with one skill</v>
      </c>
      <c r="D11" s="19" t="str">
        <f ca="1">VLOOKUP(C11,'Unique Conds'!A:B,2,0)</f>
        <v>AOE Hard Hit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Provoke debuffs</v>
      </c>
      <c r="D12" s="19" t="str">
        <f ca="1">VLOOKUP(C12,'Unique Conds'!A:B,2,0)</f>
        <v>Provoke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Defeat all when they have no buffs on them</v>
      </c>
      <c r="D14" s="19" t="str">
        <f ca="1">VLOOKUP(C14,'Unique Conds'!A:B,2,0)</f>
        <v>Strip/Block Buffs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Stun debuffs</v>
      </c>
      <c r="D15" s="19" t="str">
        <f ca="1">VLOOKUP(C15,'Unique Conds'!A:B,2,0)</f>
        <v>Stun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Do not receive more than 10 debuffs</v>
      </c>
      <c r="D16" s="19" t="str">
        <f ca="1">VLOOKUP(C16,'Unique Conds'!A:B,2,0)</f>
        <v>Block Buffs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3+ using Ally Attack skills or counterattacks</v>
      </c>
      <c r="D19" s="19" t="str">
        <f ca="1">VLOOKUP(C19,'Unique Conds'!A:B,2,0)</f>
        <v>Ally/Counter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4+ before they take a turn</v>
      </c>
      <c r="D21" s="19" t="str">
        <f ca="1">VLOOKUP(C21,'Unique Conds'!A:B,2,0)</f>
        <v>TM or Fast Kill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Get an Extra Turn 5+ times</v>
      </c>
      <c r="D22" s="19" t="str">
        <f ca="1">VLOOKUP(C22,'Unique Conds'!A:B,2,0)</f>
        <v>Extra Turn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0EEB2-A46C-4E03-A6F8-20C2AA707245}">
  <sheetPr codeName="Sheet4"/>
  <dimension ref="B1:G24"/>
  <sheetViews>
    <sheetView showGridLines="0" zoomScale="130" zoomScaleNormal="130" workbookViewId="0">
      <selection activeCell="D27" sqref="D27"/>
    </sheetView>
  </sheetViews>
  <sheetFormatPr defaultRowHeight="14.4" x14ac:dyDescent="0.3"/>
  <cols>
    <col min="1" max="1" width="1.88671875" style="1" customWidth="1"/>
    <col min="2" max="2" width="8.5546875" style="2" customWidth="1"/>
    <col min="3" max="3" width="53.33203125" style="33" customWidth="1"/>
    <col min="4" max="4" width="16.109375" style="18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BL</v>
      </c>
    </row>
    <row r="2" spans="2:7" x14ac:dyDescent="0.3">
      <c r="B2" s="26" t="s">
        <v>40</v>
      </c>
      <c r="C2" s="34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35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Reduce 6+ HP by 50% with one skill</v>
      </c>
      <c r="D4" s="19" t="str">
        <f ca="1">VLOOKUP(C4,'Unique Conds'!A:B,2,0)</f>
        <v>AOE Hard Hit</v>
      </c>
      <c r="E4" s="11" t="s">
        <v>94</v>
      </c>
      <c r="F4" s="11"/>
      <c r="G4" s="12"/>
    </row>
    <row r="5" spans="2:7" x14ac:dyDescent="0.3">
      <c r="B5" s="5">
        <v>2</v>
      </c>
      <c r="C5" s="8" t="str">
        <f ca="1">VLOOKUP(C$1&amp;B5,'Hard Conds'!L:O,4,0)</f>
        <v>Place 10+ Provoke debuffs</v>
      </c>
      <c r="D5" s="19" t="str">
        <f ca="1">VLOOKUP(C5,'Unique Conds'!A:B,2,0)</f>
        <v>Provoke</v>
      </c>
      <c r="E5" s="11" t="s">
        <v>84</v>
      </c>
      <c r="F5" s="3"/>
      <c r="G5" s="13"/>
    </row>
    <row r="6" spans="2:7" x14ac:dyDescent="0.3">
      <c r="B6" s="5">
        <v>3</v>
      </c>
      <c r="C6" s="8" t="str">
        <f ca="1">VLOOKUP(C$1&amp;B6,'Hard Conds'!L:O,4,0)</f>
        <v>Place 10+ Stun debuffs</v>
      </c>
      <c r="D6" s="19" t="str">
        <f ca="1">VLOOKUP(C6,'Unique Conds'!A:B,2,0)</f>
        <v>Stun</v>
      </c>
      <c r="E6" s="3" t="s">
        <v>89</v>
      </c>
      <c r="F6" s="3"/>
      <c r="G6" s="13"/>
    </row>
    <row r="7" spans="2:7" x14ac:dyDescent="0.3">
      <c r="B7" s="5">
        <v>4</v>
      </c>
      <c r="C7" s="8" t="str">
        <f ca="1">VLOOKUP(C$1&amp;B7,'Hard Conds'!L:O,4,0)</f>
        <v>Manipulate buff or debuff duration 20+ times</v>
      </c>
      <c r="D7" s="19" t="str">
        <f ca="1">VLOOKUP(C7,'Unique Conds'!A:B,2,0)</f>
        <v>De/Buff +/-</v>
      </c>
      <c r="E7" s="11" t="s">
        <v>144</v>
      </c>
      <c r="F7" s="3"/>
      <c r="G7" s="13"/>
    </row>
    <row r="8" spans="2:7" x14ac:dyDescent="0.3">
      <c r="B8" s="5">
        <v>5</v>
      </c>
      <c r="C8" s="8" t="str">
        <f ca="1">VLOOKUP(C$1&amp;B8,'Hard Conds'!L:O,4,0)</f>
        <v>Land 40+ hits on while they are under Leech debuffs</v>
      </c>
      <c r="D8" s="19" t="str">
        <f ca="1">VLOOKUP(C8,'Unique Conds'!A:B,2,0)</f>
        <v>Leach</v>
      </c>
      <c r="E8" s="3" t="s">
        <v>87</v>
      </c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 t="s">
        <v>90</v>
      </c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Reduce 9+ HP by 50% with one skill</v>
      </c>
      <c r="D11" s="19" t="str">
        <f ca="1">VLOOKUP(C11,'Unique Conds'!A:B,2,0)</f>
        <v>AOE Hard Hit</v>
      </c>
      <c r="E11" s="3" t="str">
        <f>E4</f>
        <v>Stag Knight, Quintus</v>
      </c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Provoke debuffs</v>
      </c>
      <c r="D12" s="19" t="str">
        <f ca="1">VLOOKUP(C12,'Unique Conds'!A:B,2,0)</f>
        <v>Provoke</v>
      </c>
      <c r="E12" s="3" t="str">
        <f>E5</f>
        <v>Sigmund</v>
      </c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 t="s">
        <v>91</v>
      </c>
      <c r="F13" s="3" t="s">
        <v>92</v>
      </c>
      <c r="G13" s="13"/>
    </row>
    <row r="14" spans="2:7" x14ac:dyDescent="0.3">
      <c r="B14" s="5">
        <v>11</v>
      </c>
      <c r="C14" s="8" t="str">
        <f ca="1">VLOOKUP(C$1&amp;B14,'Hard Conds'!L:O,4,0)</f>
        <v>Defeat all when they have no buffs on them</v>
      </c>
      <c r="D14" s="19" t="str">
        <f ca="1">VLOOKUP(C14,'Unique Conds'!A:B,2,0)</f>
        <v>Strip/Block Buffs</v>
      </c>
      <c r="E14" s="3" t="s">
        <v>93</v>
      </c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Stun debuffs</v>
      </c>
      <c r="D15" s="19" t="str">
        <f ca="1">VLOOKUP(C15,'Unique Conds'!A:B,2,0)</f>
        <v>Stun</v>
      </c>
      <c r="E15" s="3" t="str">
        <f>E6</f>
        <v>Staltus, Archmage Helmet</v>
      </c>
      <c r="F15" s="3"/>
      <c r="G15" s="13"/>
    </row>
    <row r="16" spans="2:7" x14ac:dyDescent="0.3">
      <c r="B16" s="5">
        <v>13</v>
      </c>
      <c r="C16" s="8" t="str">
        <f ca="1">VLOOKUP(C$1&amp;B16,'Hard Conds'!L:O,4,0)</f>
        <v>Do not receive more than 10 debuffs</v>
      </c>
      <c r="D16" s="19" t="str">
        <f ca="1">VLOOKUP(C16,'Unique Conds'!A:B,2,0)</f>
        <v>Block Buffs</v>
      </c>
      <c r="E16" s="3" t="s">
        <v>88</v>
      </c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 t="s">
        <v>95</v>
      </c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3+ using Ally Attack skills or counterattacks</v>
      </c>
      <c r="D19" s="19" t="str">
        <f ca="1">VLOOKUP(C19,'Unique Conds'!A:B,2,0)</f>
        <v>Ally/Counter</v>
      </c>
      <c r="E19" s="3" t="s">
        <v>96</v>
      </c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 t="s">
        <v>97</v>
      </c>
      <c r="F20" s="3" t="s">
        <v>98</v>
      </c>
      <c r="G20" s="13"/>
    </row>
    <row r="21" spans="2:7" x14ac:dyDescent="0.3">
      <c r="B21" s="5">
        <v>18</v>
      </c>
      <c r="C21" s="8" t="str">
        <f ca="1">VLOOKUP(C$1&amp;B21,'Hard Conds'!L:O,4,0)</f>
        <v>Defeat 4+ before they take a turn</v>
      </c>
      <c r="D21" s="19" t="str">
        <f ca="1">VLOOKUP(C21,'Unique Conds'!A:B,2,0)</f>
        <v>TM or Fast Kill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Get an Extra Turn 5+ times</v>
      </c>
      <c r="D22" s="19" t="str">
        <f ca="1">VLOOKUP(C22,'Unique Conds'!A:B,2,0)</f>
        <v>Extra Turn</v>
      </c>
      <c r="E22" s="3" t="s">
        <v>99</v>
      </c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 t="s">
        <v>100</v>
      </c>
      <c r="F23" s="3"/>
      <c r="G23" s="13"/>
    </row>
    <row r="24" spans="2:7" ht="15" thickBot="1" x14ac:dyDescent="0.35">
      <c r="B24" s="24">
        <v>21</v>
      </c>
      <c r="C24" s="3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CDAC9-8ECA-47D2-84F8-670B3C9D4DEB}">
  <sheetPr codeName="Sheet5"/>
  <dimension ref="B1:G24"/>
  <sheetViews>
    <sheetView showGridLines="0" zoomScale="130" zoomScaleNormal="130" workbookViewId="0">
      <pane xSplit="7" ySplit="24" topLeftCell="H28" activePane="bottomRight" state="frozen"/>
      <selection pane="topRight" activeCell="H1" sqref="H1"/>
      <selection pane="bottomLeft" activeCell="A25" sqref="A25"/>
      <selection pane="bottomRight" activeCell="C1" sqref="C1"/>
    </sheetView>
  </sheetViews>
  <sheetFormatPr defaultRowHeight="14.4" x14ac:dyDescent="0.3"/>
  <cols>
    <col min="1" max="1" width="1.88671875" style="1" customWidth="1"/>
    <col min="2" max="2" width="8.5546875" style="2" customWidth="1"/>
    <col min="3" max="3" width="53.109375" style="1" customWidth="1"/>
    <col min="4" max="4" width="16.109375" style="18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HE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">
        <v>101</v>
      </c>
      <c r="D4" s="19" t="s">
        <v>102</v>
      </c>
      <c r="E4" s="11" t="s">
        <v>114</v>
      </c>
      <c r="F4" s="11"/>
      <c r="G4" s="12"/>
    </row>
    <row r="5" spans="2:7" x14ac:dyDescent="0.3">
      <c r="B5" s="5">
        <v>2</v>
      </c>
      <c r="C5" s="4" t="s">
        <v>104</v>
      </c>
      <c r="D5" s="20" t="s">
        <v>105</v>
      </c>
      <c r="E5" s="11" t="s">
        <v>118</v>
      </c>
      <c r="F5" s="3"/>
      <c r="G5" s="13"/>
    </row>
    <row r="6" spans="2:7" x14ac:dyDescent="0.3">
      <c r="B6" s="5">
        <v>3</v>
      </c>
      <c r="C6" s="4" t="s">
        <v>106</v>
      </c>
      <c r="D6" s="20" t="s">
        <v>71</v>
      </c>
      <c r="E6" s="3" t="s">
        <v>109</v>
      </c>
      <c r="F6" s="3" t="s">
        <v>112</v>
      </c>
      <c r="G6" s="13"/>
    </row>
    <row r="7" spans="2:7" x14ac:dyDescent="0.3">
      <c r="B7" s="5">
        <v>4</v>
      </c>
      <c r="C7" s="4" t="s">
        <v>107</v>
      </c>
      <c r="D7" s="19" t="s">
        <v>86</v>
      </c>
      <c r="E7" s="11" t="s">
        <v>110</v>
      </c>
      <c r="F7" s="3" t="s">
        <v>108</v>
      </c>
      <c r="G7" s="13"/>
    </row>
    <row r="8" spans="2:7" x14ac:dyDescent="0.3">
      <c r="B8" s="5">
        <v>5</v>
      </c>
      <c r="C8" s="4" t="s">
        <v>68</v>
      </c>
      <c r="D8" s="21" t="s">
        <v>75</v>
      </c>
      <c r="E8" s="3" t="s">
        <v>132</v>
      </c>
      <c r="F8" s="3" t="s">
        <v>113</v>
      </c>
      <c r="G8" s="13"/>
    </row>
    <row r="9" spans="2:7" x14ac:dyDescent="0.3">
      <c r="B9" s="5">
        <v>6</v>
      </c>
      <c r="C9" s="4" t="s">
        <v>111</v>
      </c>
      <c r="D9" s="20" t="s">
        <v>73</v>
      </c>
      <c r="E9" s="3" t="s">
        <v>103</v>
      </c>
      <c r="F9" s="3"/>
      <c r="G9" s="13"/>
    </row>
    <row r="10" spans="2:7" x14ac:dyDescent="0.3">
      <c r="B10" s="23">
        <v>7</v>
      </c>
      <c r="C10" s="4" t="s">
        <v>72</v>
      </c>
      <c r="D10" s="20" t="s">
        <v>74</v>
      </c>
      <c r="E10" s="3"/>
      <c r="F10" s="3"/>
      <c r="G10" s="13"/>
    </row>
    <row r="11" spans="2:7" x14ac:dyDescent="0.3">
      <c r="B11" s="5">
        <v>8</v>
      </c>
      <c r="C11" s="8" t="s">
        <v>115</v>
      </c>
      <c r="D11" s="18" t="s">
        <v>102</v>
      </c>
      <c r="E11" s="3" t="str">
        <f>E4</f>
        <v>Arbiter, Shirimani, Thenasil</v>
      </c>
      <c r="F11" s="3"/>
      <c r="G11" s="13"/>
    </row>
    <row r="12" spans="2:7" x14ac:dyDescent="0.3">
      <c r="B12" s="5">
        <v>9</v>
      </c>
      <c r="C12" s="4" t="s">
        <v>116</v>
      </c>
      <c r="D12" s="20" t="s">
        <v>105</v>
      </c>
      <c r="E12" s="3" t="str">
        <f>E5</f>
        <v>Tortura, Shirimani, Neldor, Tayrel</v>
      </c>
      <c r="F12" s="3"/>
      <c r="G12" s="13"/>
    </row>
    <row r="13" spans="2:7" x14ac:dyDescent="0.3">
      <c r="B13" s="5">
        <v>10</v>
      </c>
      <c r="C13" s="4" t="s">
        <v>117</v>
      </c>
      <c r="D13" s="20" t="str">
        <f>C13</f>
        <v>Epic x3</v>
      </c>
      <c r="E13" s="3"/>
      <c r="F13" s="3"/>
      <c r="G13" s="13"/>
    </row>
    <row r="14" spans="2:7" x14ac:dyDescent="0.3">
      <c r="B14" s="5">
        <v>11</v>
      </c>
      <c r="C14" s="4" t="s">
        <v>119</v>
      </c>
      <c r="D14" s="20" t="s">
        <v>71</v>
      </c>
      <c r="E14" s="3" t="str">
        <f>E6</f>
        <v>Tayrel, Neldor</v>
      </c>
      <c r="F14" s="3"/>
      <c r="G14" s="13"/>
    </row>
    <row r="15" spans="2:7" x14ac:dyDescent="0.3">
      <c r="B15" s="5">
        <v>12</v>
      </c>
      <c r="C15" s="4" t="s">
        <v>120</v>
      </c>
      <c r="D15" s="20" t="s">
        <v>121</v>
      </c>
      <c r="E15" s="25" t="s">
        <v>138</v>
      </c>
      <c r="F15" s="3"/>
      <c r="G15" s="13"/>
    </row>
    <row r="16" spans="2:7" x14ac:dyDescent="0.3">
      <c r="B16" s="5">
        <v>13</v>
      </c>
      <c r="C16" s="4" t="s">
        <v>122</v>
      </c>
      <c r="D16" s="20" t="str">
        <f>D7</f>
        <v>Big Hit Dec Def</v>
      </c>
      <c r="E16" s="3" t="str">
        <f>E7</f>
        <v>Royal Guard, Tayrel</v>
      </c>
      <c r="F16" s="3"/>
      <c r="G16" s="13"/>
    </row>
    <row r="17" spans="2:7" x14ac:dyDescent="0.3">
      <c r="B17" s="23">
        <v>14</v>
      </c>
      <c r="C17" s="4" t="s">
        <v>123</v>
      </c>
      <c r="D17" s="20" t="str">
        <f>D10</f>
        <v>Fast Kill</v>
      </c>
      <c r="E17" s="3"/>
      <c r="F17" s="3"/>
      <c r="G17" s="13"/>
    </row>
    <row r="18" spans="2:7" x14ac:dyDescent="0.3">
      <c r="B18" s="5">
        <v>15</v>
      </c>
      <c r="C18" s="4" t="s">
        <v>127</v>
      </c>
      <c r="D18" s="20" t="s">
        <v>128</v>
      </c>
      <c r="E18" s="3" t="s">
        <v>129</v>
      </c>
      <c r="F18" s="3" t="s">
        <v>130</v>
      </c>
      <c r="G18" s="13"/>
    </row>
    <row r="19" spans="2:7" x14ac:dyDescent="0.3">
      <c r="B19" s="5">
        <v>16</v>
      </c>
      <c r="C19" s="4" t="s">
        <v>124</v>
      </c>
      <c r="D19" s="20" t="s">
        <v>82</v>
      </c>
      <c r="E19" s="3" t="s">
        <v>125</v>
      </c>
      <c r="F19" s="2" t="s">
        <v>126</v>
      </c>
      <c r="G19" s="13"/>
    </row>
    <row r="20" spans="2:7" x14ac:dyDescent="0.3">
      <c r="B20" s="5">
        <v>17</v>
      </c>
      <c r="C20" s="4" t="s">
        <v>131</v>
      </c>
      <c r="D20" s="20" t="s">
        <v>80</v>
      </c>
      <c r="E20" s="3"/>
      <c r="F20" s="3"/>
      <c r="G20" s="13"/>
    </row>
    <row r="21" spans="2:7" x14ac:dyDescent="0.3">
      <c r="B21" s="5">
        <v>18</v>
      </c>
      <c r="C21" s="4" t="s">
        <v>81</v>
      </c>
      <c r="D21" s="20" t="s">
        <v>74</v>
      </c>
      <c r="E21" s="3"/>
      <c r="F21" s="3"/>
      <c r="G21" s="13"/>
    </row>
    <row r="22" spans="2:7" x14ac:dyDescent="0.3">
      <c r="B22" s="5">
        <v>19</v>
      </c>
      <c r="C22" s="4" t="s">
        <v>78</v>
      </c>
      <c r="D22" s="20" t="s">
        <v>79</v>
      </c>
      <c r="E22" s="3" t="s">
        <v>145</v>
      </c>
      <c r="F22" s="3"/>
      <c r="G22" s="13"/>
    </row>
    <row r="23" spans="2:7" x14ac:dyDescent="0.3">
      <c r="B23" s="5">
        <v>20</v>
      </c>
      <c r="C23" s="4" t="s">
        <v>133</v>
      </c>
      <c r="D23" s="20"/>
      <c r="E23" s="3" t="s">
        <v>134</v>
      </c>
      <c r="F23" s="3" t="s">
        <v>135</v>
      </c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1270-BCF2-4BF1-9FFC-EA883C531806}">
  <sheetPr codeName="Sheet6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E5" sqref="E5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SO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Provoke debuffs</v>
      </c>
      <c r="D4" s="19" t="str">
        <f ca="1">VLOOKUP(C4,'Unique Conds'!A:B,2,0)</f>
        <v>Provoke</v>
      </c>
      <c r="E4" s="11" t="s">
        <v>140</v>
      </c>
      <c r="F4" s="11"/>
      <c r="G4" s="12"/>
    </row>
    <row r="5" spans="2:7" x14ac:dyDescent="0.3">
      <c r="B5" s="5">
        <v>2</v>
      </c>
      <c r="C5" s="8" t="str">
        <f ca="1">VLOOKUP(C$1&amp;B5,'Hard Conds'!L:O,4,0)</f>
        <v>Place 20+ Poison debuffs</v>
      </c>
      <c r="D5" s="19" t="str">
        <f ca="1">VLOOKUP(C5,'Unique Conds'!A:B,2,0)</f>
        <v>Poison</v>
      </c>
      <c r="E5" s="11" t="s">
        <v>141</v>
      </c>
      <c r="F5" s="3"/>
      <c r="G5" s="13"/>
    </row>
    <row r="6" spans="2:7" x14ac:dyDescent="0.3">
      <c r="B6" s="5">
        <v>3</v>
      </c>
      <c r="C6" s="8" t="str">
        <f ca="1">VLOOKUP(C$1&amp;B6,'Hard Conds'!L:O,4,0)</f>
        <v>Place 10+ Stun debuffs</v>
      </c>
      <c r="D6" s="19" t="str">
        <f ca="1">VLOOKUP(C6,'Unique Conds'!A:B,2,0)</f>
        <v>Stun</v>
      </c>
      <c r="E6" s="3" t="s">
        <v>142</v>
      </c>
      <c r="F6" s="3"/>
      <c r="G6" s="13"/>
    </row>
    <row r="7" spans="2:7" x14ac:dyDescent="0.3">
      <c r="B7" s="5">
        <v>4</v>
      </c>
      <c r="C7" s="8" t="str">
        <f ca="1">VLOOKUP(C$1&amp;B7,'Hard Conds'!L:O,4,0)</f>
        <v>Reduce 6+ HP by 50% with one skill</v>
      </c>
      <c r="D7" s="19" t="str">
        <f ca="1">VLOOKUP(C7,'Unique Conds'!A:B,2,0)</f>
        <v>AOE Hard Hit</v>
      </c>
      <c r="E7" s="11" t="s">
        <v>143</v>
      </c>
      <c r="F7" s="3"/>
      <c r="G7" s="13"/>
    </row>
    <row r="8" spans="2:7" x14ac:dyDescent="0.3">
      <c r="B8" s="5">
        <v>5</v>
      </c>
      <c r="C8" s="8" t="str">
        <f ca="1">VLOOKUP(C$1&amp;B8,'Hard Conds'!L:O,4,0)</f>
        <v>Place 10+ HP Burn debuffs</v>
      </c>
      <c r="D8" s="19" t="str">
        <f ca="1">VLOOKUP(C8,'Unique Conds'!A:B,2,0)</f>
        <v>HP  Burn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Provoke debuffs</v>
      </c>
      <c r="D11" s="19" t="str">
        <f ca="1">VLOOKUP(C11,'Unique Conds'!A:B,2,0)</f>
        <v>Provoke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Defeat 3+ using Ally Attack skills or counterattacks</v>
      </c>
      <c r="D12" s="19" t="str">
        <f ca="1">VLOOKUP(C12,'Unique Conds'!A:B,2,0)</f>
        <v>Ally/Counter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Reduce 9+ HP by 50% with one skill</v>
      </c>
      <c r="D14" s="19" t="str">
        <f ca="1">VLOOKUP(C14,'Unique Conds'!A:B,2,0)</f>
        <v>AOE Hard Hit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Defeat all when they have no buffs on them</v>
      </c>
      <c r="D15" s="19" t="str">
        <f ca="1">VLOOKUP(C15,'Unique Conds'!A:B,2,0)</f>
        <v>Strip/Block Buffs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Place 15+ HP Burn debuffs</v>
      </c>
      <c r="D16" s="19" t="str">
        <f ca="1">VLOOKUP(C16,'Unique Conds'!A:B,2,0)</f>
        <v>HP  Burn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Get an Extra Turn 5+ times</v>
      </c>
      <c r="D19" s="19" t="str">
        <f ca="1">VLOOKUP(C19,'Unique Conds'!A:B,2,0)</f>
        <v>Extra Turn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4+ before they take a turn</v>
      </c>
      <c r="D21" s="19" t="str">
        <f ca="1">VLOOKUP(C21,'Unique Conds'!A:B,2,0)</f>
        <v>TM or Fast Kill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theyre under 10 debuffs</v>
      </c>
      <c r="D22" s="19" t="str">
        <f ca="1">VLOOKUP(C22,'Unique Conds'!A:B,2,0)</f>
        <v>Debuffer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51829-617F-48B7-A057-ACEFA4D70550}">
  <sheetPr codeName="Sheet7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BA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Stun debuffs</v>
      </c>
      <c r="D4" s="19" t="str">
        <f ca="1">VLOOKUP(C4,'Unique Conds'!A:B,2,0)</f>
        <v>Stun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Provoke debuffs</v>
      </c>
      <c r="D5" s="19" t="str">
        <f ca="1">VLOOKUP(C5,'Unique Conds'!A:B,2,0)</f>
        <v>Provoke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Freeze debuffs</v>
      </c>
      <c r="D6" s="19" t="str">
        <f ca="1">VLOOKUP(C6,'Unique Conds'!A:B,2,0)</f>
        <v>Freeze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5+ HP Burn debuffs</v>
      </c>
      <c r="D7" s="19" t="str">
        <f ca="1">VLOOKUP(C7,'Unique Conds'!A:B,2,0)</f>
        <v>HP Burn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Manipulate skill cooldowns 10+ times</v>
      </c>
      <c r="D8" s="19" t="str">
        <f ca="1">VLOOKUP(C8,'Unique Conds'!A:B,2,0)</f>
        <v>Cooldown +/-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10+ HP Burn debuffs</v>
      </c>
      <c r="D11" s="19" t="str">
        <f ca="1">VLOOKUP(C11,'Unique Conds'!A:B,2,0)</f>
        <v>HP  Burn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Stun debuffs</v>
      </c>
      <c r="D12" s="19" t="str">
        <f ca="1">VLOOKUP(C12,'Unique Conds'!A:B,2,0)</f>
        <v>Stun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Place 15+ Provoke debuffs</v>
      </c>
      <c r="D14" s="19" t="str">
        <f ca="1">VLOOKUP(C14,'Unique Conds'!A:B,2,0)</f>
        <v>Provoke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Defeat 3+ using Ally Attack skills or counterattacks</v>
      </c>
      <c r="D15" s="19" t="str">
        <f ca="1">VLOOKUP(C15,'Unique Conds'!A:B,2,0)</f>
        <v>Ally/Counter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Do not receive more than 10 debuffs</v>
      </c>
      <c r="D16" s="19" t="str">
        <f ca="1">VLOOKUP(C16,'Unique Conds'!A:B,2,0)</f>
        <v>Block Buffs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Dont let enemies use any active skills</v>
      </c>
      <c r="D19" s="19" t="str">
        <f ca="1">VLOOKUP(C19,'Unique Conds'!A:B,2,0)</f>
        <v>Inc. Coldown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Get an Extra Turn 5+ times</v>
      </c>
      <c r="D21" s="19" t="str">
        <f ca="1">VLOOKUP(C21,'Unique Conds'!A:B,2,0)</f>
        <v>Extra Turn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4+ before they take a turn</v>
      </c>
      <c r="D22" s="19" t="str">
        <f ca="1">VLOOKUP(C22,'Unique Conds'!A:B,2,0)</f>
        <v>TM or Fast Kill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F68B3-6B9C-4CC8-8216-5E85EA399D04}">
  <sheetPr codeName="Sheet8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OT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20+ Poison debuffs</v>
      </c>
      <c r="D4" s="19" t="str">
        <f ca="1">VLOOKUP(C4,'Unique Conds'!A:B,2,0)</f>
        <v>Poison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Provoke debuffs</v>
      </c>
      <c r="D6" s="19" t="str">
        <f ca="1">VLOOKUP(C6,'Unique Conds'!A:B,2,0)</f>
        <v>Provoke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buff or debuff duration 20+ times</v>
      </c>
      <c r="D7" s="19" t="str">
        <f ca="1">VLOOKUP(C7,'Unique Conds'!A:B,2,0)</f>
        <v>De/Buff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Land 40+ hits on while they are under Leech debuffs</v>
      </c>
      <c r="D8" s="19" t="str">
        <f ca="1">VLOOKUP(C8,'Unique Conds'!A:B,2,0)</f>
        <v>Leach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Stun debuffs</v>
      </c>
      <c r="D11" s="19" t="str">
        <f ca="1">VLOOKUP(C11,'Unique Conds'!A:B,2,0)</f>
        <v>Stun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Provoke debuffs</v>
      </c>
      <c r="D12" s="19" t="str">
        <f ca="1">VLOOKUP(C12,'Unique Conds'!A:B,2,0)</f>
        <v>Provoke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Defeat 10+ using Bomb debuffs</v>
      </c>
      <c r="D14" s="19" t="str">
        <f ca="1">VLOOKUP(C14,'Unique Conds'!A:B,2,0)</f>
        <v>Bombs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HP Burn debuffs</v>
      </c>
      <c r="D15" s="19" t="str">
        <f ca="1">VLOOKUP(C15,'Unique Conds'!A:B,2,0)</f>
        <v>HP  Burn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Defeat all when they have no buffs on them</v>
      </c>
      <c r="D16" s="19" t="str">
        <f ca="1">VLOOKUP(C16,'Unique Conds'!A:B,2,0)</f>
        <v>Strip/Block Buffs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Get an Extra Turn 5+ times</v>
      </c>
      <c r="D19" s="19" t="str">
        <f ca="1">VLOOKUP(C19,'Unique Conds'!A:B,2,0)</f>
        <v>Extra Turn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3+ while your Champions are under 7 or more buffs</v>
      </c>
      <c r="D21" s="19" t="str">
        <f ca="1">VLOOKUP(C21,'Unique Conds'!A:B,2,0)</f>
        <v>Buffer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theyre under 10 debuffs</v>
      </c>
      <c r="D22" s="19" t="str">
        <f ca="1">VLOOKUP(C22,'Unique Conds'!A:B,2,0)</f>
        <v>Debuffer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BA47-58B9-44A1-A3D7-0B112DF9AAB6}">
  <sheetPr codeName="Sheet9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LZ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Heal your Champions HP by 500000+</v>
      </c>
      <c r="D4" s="19" t="str">
        <f ca="1">VLOOKUP(C4,'Unique Conds'!A:B,2,0)</f>
        <v>Healer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20+ Poison debuffs</v>
      </c>
      <c r="D6" s="19" t="str">
        <f ca="1">VLOOKUP(C6,'Unique Conds'!A:B,2,0)</f>
        <v>Poison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10+ Provoke debuffs</v>
      </c>
      <c r="D7" s="19" t="str">
        <f ca="1">VLOOKUP(C7,'Unique Conds'!A:B,2,0)</f>
        <v>Provoke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Reduce 6+ HP by 50% with one skill</v>
      </c>
      <c r="D8" s="19" t="str">
        <f ca="1">VLOOKUP(C8,'Unique Conds'!A:B,2,0)</f>
        <v>AOE Hard Hit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Heal your Champions HP by 1000000+</v>
      </c>
      <c r="D11" s="19" t="str">
        <f ca="1">VLOOKUP(C11,'Unique Conds'!A:B,2,0)</f>
        <v>Healer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Stun debuffs</v>
      </c>
      <c r="D12" s="19" t="str">
        <f ca="1">VLOOKUP(C12,'Unique Conds'!A:B,2,0)</f>
        <v>Stun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Place 15+ Provoke debuffs</v>
      </c>
      <c r="D14" s="19" t="str">
        <f ca="1">VLOOKUP(C14,'Unique Conds'!A:B,2,0)</f>
        <v>Provoke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Defeat all when they have no buffs on them</v>
      </c>
      <c r="D15" s="19" t="str">
        <f ca="1">VLOOKUP(C15,'Unique Conds'!A:B,2,0)</f>
        <v>Strip/Block Buffs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Reduce 9+ HP by 50% with one skill</v>
      </c>
      <c r="D16" s="19" t="str">
        <f ca="1">VLOOKUP(C16,'Unique Conds'!A:B,2,0)</f>
        <v>AOE Hard Hit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Get an Extra Turn 5+ times</v>
      </c>
      <c r="D19" s="19" t="str">
        <f ca="1">VLOOKUP(C19,'Unique Conds'!A:B,2,0)</f>
        <v>Extra Turn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4+ before they take a turn</v>
      </c>
      <c r="D21" s="19" t="str">
        <f ca="1">VLOOKUP(C21,'Unique Conds'!A:B,2,0)</f>
        <v>TM or Fast Kill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theyre under 10 debuffs</v>
      </c>
      <c r="D22" s="19" t="str">
        <f ca="1">VLOOKUP(C22,'Unique Conds'!A:B,2,0)</f>
        <v>Debuffer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6463-CACF-411D-B470-814F60428AC4}">
  <sheetPr codeName="Sheet10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SW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20+ Poison debuffs</v>
      </c>
      <c r="D4" s="19" t="str">
        <f ca="1">VLOOKUP(C4,'Unique Conds'!A:B,2,0)</f>
        <v>Poison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Manipulate buff or debuff duration 20+ times</v>
      </c>
      <c r="D6" s="19" t="str">
        <f ca="1">VLOOKUP(C6,'Unique Conds'!A:B,2,0)</f>
        <v>De/Buff +/-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10+ Provoke debuffs</v>
      </c>
      <c r="D7" s="19" t="str">
        <f ca="1">VLOOKUP(C7,'Unique Conds'!A:B,2,0)</f>
        <v>Provoke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Reduce 6+ HP by 50% with one skill</v>
      </c>
      <c r="D8" s="19" t="str">
        <f ca="1">VLOOKUP(C8,'Unique Conds'!A:B,2,0)</f>
        <v>AOE Hard Hit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Stun debuffs</v>
      </c>
      <c r="D11" s="19" t="str">
        <f ca="1">VLOOKUP(C11,'Unique Conds'!A:B,2,0)</f>
        <v>Stun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Provoke debuffs</v>
      </c>
      <c r="D12" s="19" t="str">
        <f ca="1">VLOOKUP(C12,'Unique Conds'!A:B,2,0)</f>
        <v>Provoke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Manipulate buff or debuff duration 30+ times</v>
      </c>
      <c r="D14" s="19" t="str">
        <f ca="1">VLOOKUP(C14,'Unique Conds'!A:B,2,0)</f>
        <v>De/Buff +/-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Defeat all when they have no buffs on them</v>
      </c>
      <c r="D15" s="19" t="str">
        <f ca="1">VLOOKUP(C15,'Unique Conds'!A:B,2,0)</f>
        <v>Strip/Block Buffs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Defeat 3+ using Ally Attack skills or counterattacks</v>
      </c>
      <c r="D16" s="19" t="str">
        <f ca="1">VLOOKUP(C16,'Unique Conds'!A:B,2,0)</f>
        <v>Ally/Counter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Get an Extra Turn 5+ times</v>
      </c>
      <c r="D19" s="19" t="str">
        <f ca="1">VLOOKUP(C19,'Unique Conds'!A:B,2,0)</f>
        <v>Extra Turn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3+ while your Champions are under 7 or more buffs</v>
      </c>
      <c r="D21" s="19" t="str">
        <f ca="1">VLOOKUP(C21,'Unique Conds'!A:B,2,0)</f>
        <v>Buffer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Dont let enemies use any active skills</v>
      </c>
      <c r="D22" s="19" t="str">
        <f ca="1">VLOOKUP(C22,'Unique Conds'!A:B,2,0)</f>
        <v>Inc. Coldown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Defeat 3+ while theyre under 10 debuffs</v>
      </c>
      <c r="D23" s="19" t="str">
        <f ca="1">VLOOKUP(C23,'Unique Conds'!A:B,2,0)</f>
        <v>Debuffer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C1E0C-128B-40D8-B268-BA1C3F289155}">
  <sheetPr codeName="Sheet11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OR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Provoke debuffs</v>
      </c>
      <c r="D4" s="19" t="str">
        <f ca="1">VLOOKUP(C4,'Unique Conds'!A:B,2,0)</f>
        <v>Provoke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Reduce 6+ HP by 50% with one skill</v>
      </c>
      <c r="D6" s="19" t="str">
        <f ca="1">VLOOKUP(C6,'Unique Conds'!A:B,2,0)</f>
        <v>AOE Hard Hit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skill cooldowns 10+ times</v>
      </c>
      <c r="D7" s="19" t="str">
        <f ca="1">VLOOKUP(C7,'Unique Conds'!A:B,2,0)</f>
        <v>Cooldown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Place 10+ HP Burn debuffs</v>
      </c>
      <c r="D8" s="19" t="str">
        <f ca="1">VLOOKUP(C8,'Unique Conds'!A:B,2,0)</f>
        <v>HP  Burn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Provoke debuffs</v>
      </c>
      <c r="D11" s="19" t="str">
        <f ca="1">VLOOKUP(C11,'Unique Conds'!A:B,2,0)</f>
        <v>Provoke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Stun debuffs</v>
      </c>
      <c r="D12" s="19" t="str">
        <f ca="1">VLOOKUP(C12,'Unique Conds'!A:B,2,0)</f>
        <v>Stun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Defeat all when they have no buffs on them</v>
      </c>
      <c r="D14" s="19" t="str">
        <f ca="1">VLOOKUP(C14,'Unique Conds'!A:B,2,0)</f>
        <v>Strip/Block Buffs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Manipulate buff or debuff duration 30+ times</v>
      </c>
      <c r="D15" s="19" t="str">
        <f ca="1">VLOOKUP(C15,'Unique Conds'!A:B,2,0)</f>
        <v>De/Buff +/-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Defeat 3+ using Ally Attack skills or counterattacks</v>
      </c>
      <c r="D16" s="19" t="str">
        <f ca="1">VLOOKUP(C16,'Unique Conds'!A:B,2,0)</f>
        <v>Ally/Counter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4+ before they take a turn</v>
      </c>
      <c r="D19" s="19" t="str">
        <f ca="1">VLOOKUP(C19,'Unique Conds'!A:B,2,0)</f>
        <v>TM or Fast Kill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3+ while your Champions are under 7 or more buffs</v>
      </c>
      <c r="D21" s="19" t="str">
        <f ca="1">VLOOKUP(C21,'Unique Conds'!A:B,2,0)</f>
        <v>Buffer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Dont let enemies use any active skills</v>
      </c>
      <c r="D22" s="19" t="str">
        <f ca="1">VLOOKUP(C22,'Unique Conds'!A:B,2,0)</f>
        <v>Inc. Coldown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B2D4-5377-4D9D-80B5-E90D84E8B40E}">
  <sheetPr codeName="Sheet12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DS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HP Burn debuffs</v>
      </c>
      <c r="D4" s="19" t="str">
        <f ca="1">VLOOKUP(C4,'Unique Conds'!A:B,2,0)</f>
        <v>HP  Burn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Provoke debuffs</v>
      </c>
      <c r="D5" s="19" t="str">
        <f ca="1">VLOOKUP(C5,'Unique Conds'!A:B,2,0)</f>
        <v>Provoke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20+ Poison debuffs</v>
      </c>
      <c r="D6" s="19" t="str">
        <f ca="1">VLOOKUP(C6,'Unique Conds'!A:B,2,0)</f>
        <v>Poison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Defeat 5+ using Bomb debuffs</v>
      </c>
      <c r="D7" s="19" t="str">
        <f ca="1">VLOOKUP(C7,'Unique Conds'!A:B,2,0)</f>
        <v>Bombs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Place 10+ Stun debuffs</v>
      </c>
      <c r="D8" s="19" t="str">
        <f ca="1">VLOOKUP(C8,'Unique Conds'!A:B,2,0)</f>
        <v>Stun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HP Burn debuffs</v>
      </c>
      <c r="D11" s="19" t="str">
        <f ca="1">VLOOKUP(C11,'Unique Conds'!A:B,2,0)</f>
        <v>HP  Burn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Defeat 10+ using Bomb debuffs</v>
      </c>
      <c r="D12" s="19" t="str">
        <f ca="1">VLOOKUP(C12,'Unique Conds'!A:B,2,0)</f>
        <v>Bombs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Defeat all when they have no buffs on them</v>
      </c>
      <c r="D14" s="19" t="str">
        <f ca="1">VLOOKUP(C14,'Unique Conds'!A:B,2,0)</f>
        <v>Strip/Block Buffs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Provoke debuffs</v>
      </c>
      <c r="D15" s="19" t="str">
        <f ca="1">VLOOKUP(C15,'Unique Conds'!A:B,2,0)</f>
        <v>Provoke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Place 15+ Stun debuffs</v>
      </c>
      <c r="D16" s="19" t="str">
        <f ca="1">VLOOKUP(C16,'Unique Conds'!A:B,2,0)</f>
        <v>Stun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Dont let enemies use any active skills</v>
      </c>
      <c r="D19" s="19" t="str">
        <f ca="1">VLOOKUP(C19,'Unique Conds'!A:B,2,0)</f>
        <v>Inc. Coldown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10+ while your Champions are under Perfect Veil</v>
      </c>
      <c r="D21" s="19" t="str">
        <f ca="1">VLOOKUP(C21,'Unique Conds'!A:B,2,0)</f>
        <v>Veil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Place 10+ Block Revive debuffs</v>
      </c>
      <c r="D22" s="19" t="str">
        <f ca="1">VLOOKUP(C22,'Unique Conds'!A:B,2,0)</f>
        <v>Block Revive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Defeat 4+ before they take a turn</v>
      </c>
      <c r="D23" s="19" t="str">
        <f ca="1">VLOOKUP(C23,'Unique Conds'!A:B,2,0)</f>
        <v>TM or Fast Kill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5C4E-039A-4D77-B514-27CDA654B735}">
  <sheetPr codeName="Sheet13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UH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20+ Poison debuffs</v>
      </c>
      <c r="D4" s="19" t="str">
        <f ca="1">VLOOKUP(C4,'Unique Conds'!A:B,2,0)</f>
        <v>Poison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Land 40+ hits on while they are under Leech debuffs</v>
      </c>
      <c r="D5" s="19" t="str">
        <f ca="1">VLOOKUP(C5,'Unique Conds'!A:B,2,0)</f>
        <v>Leach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Stun debuffs</v>
      </c>
      <c r="D6" s="19" t="str">
        <f ca="1">VLOOKUP(C6,'Unique Conds'!A:B,2,0)</f>
        <v>Stun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10+ Provoke debuffs</v>
      </c>
      <c r="D7" s="19" t="str">
        <f ca="1">VLOOKUP(C7,'Unique Conds'!A:B,2,0)</f>
        <v>Provoke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Place 10+ Sleep debuffs</v>
      </c>
      <c r="D8" s="19" t="str">
        <f ca="1">VLOOKUP(C8,'Unique Conds'!A:B,2,0)</f>
        <v>Sleep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Land 60+ hits on while they are under Leech debuffs</v>
      </c>
      <c r="D11" s="19" t="str">
        <f ca="1">VLOOKUP(C11,'Unique Conds'!A:B,2,0)</f>
        <v>Leach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Defeat all when they have no buffs on them</v>
      </c>
      <c r="D12" s="19" t="str">
        <f ca="1">VLOOKUP(C12,'Unique Conds'!A:B,2,0)</f>
        <v>Strip/Block Buffs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Place 15+ Stun debuffs</v>
      </c>
      <c r="D14" s="19" t="str">
        <f ca="1">VLOOKUP(C14,'Unique Conds'!A:B,2,0)</f>
        <v>Stun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Provoke debuffs</v>
      </c>
      <c r="D15" s="19" t="str">
        <f ca="1">VLOOKUP(C15,'Unique Conds'!A:B,2,0)</f>
        <v>Provoke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Place 15+ Sleep debuffs</v>
      </c>
      <c r="D16" s="19" t="str">
        <f ca="1">VLOOKUP(C16,'Unique Conds'!A:B,2,0)</f>
        <v>Sleep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3+ using Ally Attack skills or counterattacks</v>
      </c>
      <c r="D19" s="19" t="str">
        <f ca="1">VLOOKUP(C19,'Unique Conds'!A:B,2,0)</f>
        <v>Ally/Counter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10+ while they are under Fear/True Fear debuffs</v>
      </c>
      <c r="D21" s="19" t="str">
        <f ca="1">VLOOKUP(C21,'Unique Conds'!A:B,2,0)</f>
        <v>Fear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Dont let enemies use any active skills</v>
      </c>
      <c r="D22" s="19" t="str">
        <f ca="1">VLOOKUP(C22,'Unique Conds'!A:B,2,0)</f>
        <v>Inc. Coldown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Dont let enemies heal</v>
      </c>
      <c r="D23" s="19" t="str">
        <f ca="1">VLOOKUP(C23,'Unique Conds'!A:B,2,0)</f>
        <v>Block Heal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A8A0-3ECD-41EE-B1E8-F5CBEE263F72}">
  <sheetPr codeName="Sheet14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DE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20+ Poison debuffs</v>
      </c>
      <c r="D4" s="19" t="str">
        <f ca="1">VLOOKUP(C4,'Unique Conds'!A:B,2,0)</f>
        <v>Poison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Freeze debuffs</v>
      </c>
      <c r="D5" s="19" t="str">
        <f ca="1">VLOOKUP(C5,'Unique Conds'!A:B,2,0)</f>
        <v>Freeze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Provoke debuffs</v>
      </c>
      <c r="D6" s="19" t="str">
        <f ca="1">VLOOKUP(C6,'Unique Conds'!A:B,2,0)</f>
        <v>Provoke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10+ Sleep debuffs</v>
      </c>
      <c r="D7" s="19" t="str">
        <f ca="1">VLOOKUP(C7,'Unique Conds'!A:B,2,0)</f>
        <v>Sleep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Defeat 6+ while theyre under Hex debuffs</v>
      </c>
      <c r="D8" s="19" t="str">
        <f ca="1">VLOOKUP(C8,'Unique Conds'!A:B,2,0)</f>
        <v>Hex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Defeat all when they have no buffs on them</v>
      </c>
      <c r="D11" s="19" t="str">
        <f ca="1">VLOOKUP(C11,'Unique Conds'!A:B,2,0)</f>
        <v>Strip/Block Buffs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Freeze debuffs</v>
      </c>
      <c r="D12" s="19" t="str">
        <f ca="1">VLOOKUP(C12,'Unique Conds'!A:B,2,0)</f>
        <v>Freeze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Place 15+ Provoke debuffs</v>
      </c>
      <c r="D14" s="19" t="str">
        <f ca="1">VLOOKUP(C14,'Unique Conds'!A:B,2,0)</f>
        <v>Provoke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Manipulate skill cooldowns 15+ times</v>
      </c>
      <c r="D15" s="19" t="str">
        <f ca="1">VLOOKUP(C15,'Unique Conds'!A:B,2,0)</f>
        <v>Cooldown +/-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Do not receive more than 10 debuffs</v>
      </c>
      <c r="D16" s="19" t="str">
        <f ca="1">VLOOKUP(C16,'Unique Conds'!A:B,2,0)</f>
        <v>Block Buffs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Place 10+ Block Revive debuffs</v>
      </c>
      <c r="D19" s="19" t="str">
        <f ca="1">VLOOKUP(C19,'Unique Conds'!A:B,2,0)</f>
        <v>Block Revive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10+ while your Champions are under Perfect Veil</v>
      </c>
      <c r="D21" s="19" t="str">
        <f ca="1">VLOOKUP(C21,'Unique Conds'!A:B,2,0)</f>
        <v>Veil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theyre under 10 debuffs</v>
      </c>
      <c r="D22" s="19" t="str">
        <f ca="1">VLOOKUP(C22,'Unique Conds'!A:B,2,0)</f>
        <v>Debuffer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Dont let enemies heal</v>
      </c>
      <c r="D23" s="19" t="str">
        <f ca="1">VLOOKUP(C23,'Unique Conds'!A:B,2,0)</f>
        <v>Block Heal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D8BF-5A94-454A-B7F2-F5EDE4F3A08F}">
  <sheetPr codeName="Sheet15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KR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20+ Poison debuffs</v>
      </c>
      <c r="D4" s="19" t="str">
        <f ca="1">VLOOKUP(C4,'Unique Conds'!A:B,2,0)</f>
        <v>Poison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Provoke debuffs</v>
      </c>
      <c r="D6" s="19" t="str">
        <f ca="1">VLOOKUP(C6,'Unique Conds'!A:B,2,0)</f>
        <v>Provoke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skill cooldowns 10+ times</v>
      </c>
      <c r="D7" s="19" t="str">
        <f ca="1">VLOOKUP(C7,'Unique Conds'!A:B,2,0)</f>
        <v>Cooldown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Defeat 6+ while theyre under Hex debuffs</v>
      </c>
      <c r="D8" s="19" t="str">
        <f ca="1">VLOOKUP(C8,'Unique Conds'!A:B,2,0)</f>
        <v>Hex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Provoke debuffs</v>
      </c>
      <c r="D11" s="19" t="str">
        <f ca="1">VLOOKUP(C11,'Unique Conds'!A:B,2,0)</f>
        <v>Provoke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Manipulate skill cooldowns 15+ times</v>
      </c>
      <c r="D12" s="19" t="str">
        <f ca="1">VLOOKUP(C12,'Unique Conds'!A:B,2,0)</f>
        <v>Cooldown +/-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Defeat all when they have no buffs on them</v>
      </c>
      <c r="D14" s="19" t="str">
        <f ca="1">VLOOKUP(C14,'Unique Conds'!A:B,2,0)</f>
        <v>Strip/Block Buffs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Place 15+ Stun debuffs</v>
      </c>
      <c r="D15" s="19" t="str">
        <f ca="1">VLOOKUP(C15,'Unique Conds'!A:B,2,0)</f>
        <v>Stun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Manipulate buff or debuff duration 30+ times</v>
      </c>
      <c r="D16" s="19" t="str">
        <f ca="1">VLOOKUP(C16,'Unique Conds'!A:B,2,0)</f>
        <v>De/Buff +/-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10+ while they are under Fear/True Fear debuffs</v>
      </c>
      <c r="D19" s="19" t="str">
        <f ca="1">VLOOKUP(C19,'Unique Conds'!A:B,2,0)</f>
        <v>Fear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3+ while theyre under 10 debuffs</v>
      </c>
      <c r="D21" s="19" t="str">
        <f ca="1">VLOOKUP(C21,'Unique Conds'!A:B,2,0)</f>
        <v>Debuffer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Get an Extra Turn 5+ times</v>
      </c>
      <c r="D22" s="19" t="str">
        <f ca="1">VLOOKUP(C22,'Unique Conds'!A:B,2,0)</f>
        <v>Extra Turn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Defeat 4+ before they take a turn</v>
      </c>
      <c r="D23" s="19" t="str">
        <f ca="1">VLOOKUP(C23,'Unique Conds'!A:B,2,0)</f>
        <v>TM or Fast Kill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8590-6018-4D03-A408-EEBB3EF50575}">
  <sheetPr codeName="Sheet16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DW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HP Burn debuffs</v>
      </c>
      <c r="D4" s="19" t="str">
        <f ca="1">VLOOKUP(C4,'Unique Conds'!A:B,2,0)</f>
        <v>HP  Burn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Stun debuffs</v>
      </c>
      <c r="D5" s="19" t="str">
        <f ca="1">VLOOKUP(C5,'Unique Conds'!A:B,2,0)</f>
        <v>Stun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Provoke debuffs</v>
      </c>
      <c r="D6" s="19" t="str">
        <f ca="1">VLOOKUP(C6,'Unique Conds'!A:B,2,0)</f>
        <v>Provoke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Place 10+ Freeze debuffs</v>
      </c>
      <c r="D7" s="19" t="str">
        <f ca="1">VLOOKUP(C7,'Unique Conds'!A:B,2,0)</f>
        <v>Freeze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Reduce 6+ HP by 50% with one skill</v>
      </c>
      <c r="D8" s="19" t="str">
        <f ca="1">VLOOKUP(C8,'Unique Conds'!A:B,2,0)</f>
        <v>AOE Hard Hit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HP Burn debuffs</v>
      </c>
      <c r="D11" s="19" t="str">
        <f ca="1">VLOOKUP(C11,'Unique Conds'!A:B,2,0)</f>
        <v>HP  Burn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Stun debuffs</v>
      </c>
      <c r="D12" s="19" t="str">
        <f ca="1">VLOOKUP(C12,'Unique Conds'!A:B,2,0)</f>
        <v>Stun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Place 15+ Provoke debuffs</v>
      </c>
      <c r="D14" s="19" t="str">
        <f ca="1">VLOOKUP(C14,'Unique Conds'!A:B,2,0)</f>
        <v>Provoke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Defeat all when they have no buffs on them</v>
      </c>
      <c r="D15" s="19" t="str">
        <f ca="1">VLOOKUP(C15,'Unique Conds'!A:B,2,0)</f>
        <v>Strip/Block Buffs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Manipulate skill cooldowns 15+ times</v>
      </c>
      <c r="D16" s="19" t="str">
        <f ca="1">VLOOKUP(C16,'Unique Conds'!A:B,2,0)</f>
        <v>Cooldown +/-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3+ using Ally Attack skills or counterattacks</v>
      </c>
      <c r="D19" s="19" t="str">
        <f ca="1">VLOOKUP(C19,'Unique Conds'!A:B,2,0)</f>
        <v>Ally/Counter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Get an Extra Turn 5+ times</v>
      </c>
      <c r="D21" s="19" t="str">
        <f ca="1">VLOOKUP(C21,'Unique Conds'!A:B,2,0)</f>
        <v>Extra Turn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your Champions are under 7 or more buffs</v>
      </c>
      <c r="D22" s="19" t="str">
        <f ca="1">VLOOKUP(C22,'Unique Conds'!A:B,2,0)</f>
        <v>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8B378-34CA-4A6A-97BA-36E65D038B12}">
  <sheetPr codeName="Sheet17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C4" sqref="C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SK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Place 10+ Stun debuffs</v>
      </c>
      <c r="D4" s="19" t="str">
        <f ca="1">VLOOKUP(C4,'Unique Conds'!A:B,2,0)</f>
        <v>Stun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Provoke debuffs</v>
      </c>
      <c r="D5" s="19" t="str">
        <f ca="1">VLOOKUP(C5,'Unique Conds'!A:B,2,0)</f>
        <v>Provoke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HP Burn debuffs</v>
      </c>
      <c r="D6" s="19" t="str">
        <f ca="1">VLOOKUP(C6,'Unique Conds'!A:B,2,0)</f>
        <v>HP  Burn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skill cooldowns 10+ times</v>
      </c>
      <c r="D7" s="19" t="str">
        <f ca="1">VLOOKUP(C7,'Unique Conds'!A:B,2,0)</f>
        <v>Cooldown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Land 40+ hits on while they are under Leech debuffs</v>
      </c>
      <c r="D8" s="19" t="str">
        <f ca="1">VLOOKUP(C8,'Unique Conds'!A:B,2,0)</f>
        <v>Leach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Place 15+ Stun debuffs</v>
      </c>
      <c r="D11" s="19" t="str">
        <f ca="1">VLOOKUP(C11,'Unique Conds'!A:B,2,0)</f>
        <v>Stun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Provoke debuffs</v>
      </c>
      <c r="D12" s="19" t="str">
        <f ca="1">VLOOKUP(C12,'Unique Conds'!A:B,2,0)</f>
        <v>Provoke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Land 60+ hits on while they are under Leech debuffs</v>
      </c>
      <c r="D14" s="19" t="str">
        <f ca="1">VLOOKUP(C14,'Unique Conds'!A:B,2,0)</f>
        <v>Leach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Manipulate skill cooldowns 15+ times</v>
      </c>
      <c r="D15" s="19" t="str">
        <f ca="1">VLOOKUP(C15,'Unique Conds'!A:B,2,0)</f>
        <v>Cooldown +/-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Defeat all when they have no buffs on them</v>
      </c>
      <c r="D16" s="19" t="str">
        <f ca="1">VLOOKUP(C16,'Unique Conds'!A:B,2,0)</f>
        <v>Strip/Block Buffs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10+ while your Champions are under Perfect Veil</v>
      </c>
      <c r="D19" s="19" t="str">
        <f ca="1">VLOOKUP(C19,'Unique Conds'!A:B,2,0)</f>
        <v>Veil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Defeat 4+ before they take a turn</v>
      </c>
      <c r="D21" s="19" t="str">
        <f ca="1">VLOOKUP(C21,'Unique Conds'!A:B,2,0)</f>
        <v>TM or Fast Kill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theyre under 10 debuffs</v>
      </c>
      <c r="D22" s="19" t="str">
        <f ca="1">VLOOKUP(C22,'Unique Conds'!A:B,2,0)</f>
        <v>Debuffer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Dont let enemies use any active skills</v>
      </c>
      <c r="D23" s="19" t="str">
        <f ca="1">VLOOKUP(C23,'Unique Conds'!A:B,2,0)</f>
        <v>Inc. Coldown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25389-EF96-403E-A6C1-A61FFC07152A}">
  <sheetPr codeName="Sheet18"/>
  <dimension ref="B1:G24"/>
  <sheetViews>
    <sheetView showGridLines="0" zoomScale="130" zoomScaleNormal="130" workbookViewId="0">
      <pane xSplit="7" ySplit="24" topLeftCell="H25" activePane="bottomRight" state="frozen"/>
      <selection pane="topRight" activeCell="H1" sqref="H1"/>
      <selection pane="bottomLeft" activeCell="A25" sqref="A25"/>
      <selection pane="bottomRight" activeCell="E4" sqref="E4"/>
    </sheetView>
  </sheetViews>
  <sheetFormatPr defaultRowHeight="14.4" x14ac:dyDescent="0.3"/>
  <cols>
    <col min="1" max="1" width="2.109375" style="1" customWidth="1"/>
    <col min="2" max="2" width="8.5546875" style="2" customWidth="1"/>
    <col min="3" max="3" width="52.77734375" style="1" customWidth="1"/>
    <col min="4" max="4" width="24.88671875" style="18" bestFit="1" customWidth="1"/>
    <col min="5" max="7" width="31.33203125" style="2" customWidth="1"/>
    <col min="8" max="16384" width="8.88671875" style="1"/>
  </cols>
  <sheetData>
    <row r="1" spans="2:7" ht="15" thickBot="1" x14ac:dyDescent="0.35">
      <c r="C1" s="33" t="str" cm="1">
        <f t="array" aca="1" ref="C1" ca="1">_xlfn.LET(_xlpm.x,_xlfn.TEXTAFTER(CELL("filename",A1),"]"),IF(_xlpm.x="Template","BL",_xlpm.x))</f>
        <v>SY</v>
      </c>
    </row>
    <row r="2" spans="2:7" x14ac:dyDescent="0.3">
      <c r="B2" s="26" t="s">
        <v>40</v>
      </c>
      <c r="C2" s="28" t="s">
        <v>41</v>
      </c>
      <c r="D2" s="30" t="s">
        <v>69</v>
      </c>
      <c r="E2" s="14"/>
      <c r="F2" s="14" t="s">
        <v>67</v>
      </c>
      <c r="G2" s="15"/>
    </row>
    <row r="3" spans="2:7" ht="15" thickBot="1" x14ac:dyDescent="0.35">
      <c r="B3" s="27"/>
      <c r="C3" s="29"/>
      <c r="D3" s="31"/>
      <c r="E3" s="16" t="s">
        <v>85</v>
      </c>
      <c r="F3" s="16" t="s">
        <v>38</v>
      </c>
      <c r="G3" s="17" t="s">
        <v>37</v>
      </c>
    </row>
    <row r="4" spans="2:7" x14ac:dyDescent="0.3">
      <c r="B4" s="7">
        <v>1</v>
      </c>
      <c r="C4" s="8" t="str">
        <f ca="1">VLOOKUP(C$1&amp;B4,'Hard Conds'!L:O,4,0)</f>
        <v>Heal your Champions HP by 500000+</v>
      </c>
      <c r="D4" s="19" t="str">
        <f ca="1">VLOOKUP(C4,'Unique Conds'!A:B,2,0)</f>
        <v>Healer</v>
      </c>
      <c r="E4" s="11"/>
      <c r="F4" s="11"/>
      <c r="G4" s="12"/>
    </row>
    <row r="5" spans="2:7" x14ac:dyDescent="0.3">
      <c r="B5" s="5">
        <v>2</v>
      </c>
      <c r="C5" s="8" t="str">
        <f ca="1">VLOOKUP(C$1&amp;B5,'Hard Conds'!L:O,4,0)</f>
        <v>Place 10+ Freeze debuffs</v>
      </c>
      <c r="D5" s="19" t="str">
        <f ca="1">VLOOKUP(C5,'Unique Conds'!A:B,2,0)</f>
        <v>Freeze</v>
      </c>
      <c r="E5" s="11"/>
      <c r="F5" s="3"/>
      <c r="G5" s="13"/>
    </row>
    <row r="6" spans="2:7" x14ac:dyDescent="0.3">
      <c r="B6" s="5">
        <v>3</v>
      </c>
      <c r="C6" s="8" t="str">
        <f ca="1">VLOOKUP(C$1&amp;B6,'Hard Conds'!L:O,4,0)</f>
        <v>Place 10+ Decrease SPD debuffs</v>
      </c>
      <c r="D6" s="19" t="str">
        <f ca="1">VLOOKUP(C6,'Unique Conds'!A:B,2,0)</f>
        <v>Dec SPD</v>
      </c>
      <c r="E6" s="3"/>
      <c r="F6" s="3"/>
      <c r="G6" s="13"/>
    </row>
    <row r="7" spans="2:7" x14ac:dyDescent="0.3">
      <c r="B7" s="5">
        <v>4</v>
      </c>
      <c r="C7" s="8" t="str">
        <f ca="1">VLOOKUP(C$1&amp;B7,'Hard Conds'!L:O,4,0)</f>
        <v>Manipulate buff or debuff duration 20+ times</v>
      </c>
      <c r="D7" s="19" t="str">
        <f ca="1">VLOOKUP(C7,'Unique Conds'!A:B,2,0)</f>
        <v>De/Buff +/-</v>
      </c>
      <c r="E7" s="11"/>
      <c r="F7" s="3"/>
      <c r="G7" s="13"/>
    </row>
    <row r="8" spans="2:7" x14ac:dyDescent="0.3">
      <c r="B8" s="5">
        <v>5</v>
      </c>
      <c r="C8" s="8" t="str">
        <f ca="1">VLOOKUP(C$1&amp;B8,'Hard Conds'!L:O,4,0)</f>
        <v>Manipulate skill cooldowns 10+ times</v>
      </c>
      <c r="D8" s="19" t="str">
        <f ca="1">VLOOKUP(C8,'Unique Conds'!A:B,2,0)</f>
        <v>Cooldown +/-</v>
      </c>
      <c r="E8" s="3"/>
      <c r="F8" s="3"/>
      <c r="G8" s="13"/>
    </row>
    <row r="9" spans="2:7" x14ac:dyDescent="0.3">
      <c r="B9" s="5">
        <v>6</v>
      </c>
      <c r="C9" s="8" t="str">
        <f ca="1">VLOOKUP(C$1&amp;B9,'Hard Conds'!L:O,4,0)</f>
        <v>Manipulate Turn Meters 40+ times</v>
      </c>
      <c r="D9" s="19" t="str">
        <f ca="1">VLOOKUP(C9,'Unique Conds'!A:B,2,0)</f>
        <v>TM +/-</v>
      </c>
      <c r="E9" s="3"/>
      <c r="F9" s="3"/>
      <c r="G9" s="13"/>
    </row>
    <row r="10" spans="2:7" x14ac:dyDescent="0.3">
      <c r="B10" s="23">
        <v>7</v>
      </c>
      <c r="C10" s="8" t="str">
        <f ca="1">VLOOKUP(C$1&amp;B10,'Hard Conds'!L:O,4,0)</f>
        <v>Clear in 100 turns</v>
      </c>
      <c r="D10" s="19" t="str">
        <f ca="1">VLOOKUP(C10,'Unique Conds'!A:B,2,0)</f>
        <v>Fast Kill</v>
      </c>
      <c r="E10" s="3"/>
      <c r="F10" s="3"/>
      <c r="G10" s="13"/>
    </row>
    <row r="11" spans="2:7" x14ac:dyDescent="0.3">
      <c r="B11" s="5">
        <v>8</v>
      </c>
      <c r="C11" s="8" t="str">
        <f ca="1">VLOOKUP(C$1&amp;B11,'Hard Conds'!L:O,4,0)</f>
        <v>Heal your Champions HP by 1000000+</v>
      </c>
      <c r="D11" s="19" t="str">
        <f ca="1">VLOOKUP(C11,'Unique Conds'!A:B,2,0)</f>
        <v>Healer</v>
      </c>
      <c r="E11" s="3"/>
      <c r="F11" s="3"/>
      <c r="G11" s="13"/>
    </row>
    <row r="12" spans="2:7" x14ac:dyDescent="0.3">
      <c r="B12" s="5">
        <v>9</v>
      </c>
      <c r="C12" s="8" t="str">
        <f ca="1">VLOOKUP(C$1&amp;B12,'Hard Conds'!L:O,4,0)</f>
        <v>Place 15+ Freeze debuffs</v>
      </c>
      <c r="D12" s="19" t="str">
        <f ca="1">VLOOKUP(C12,'Unique Conds'!A:B,2,0)</f>
        <v>Freeze</v>
      </c>
      <c r="E12" s="3"/>
      <c r="F12" s="3"/>
      <c r="G12" s="13"/>
    </row>
    <row r="13" spans="2:7" x14ac:dyDescent="0.3">
      <c r="B13" s="5">
        <v>10</v>
      </c>
      <c r="C13" s="8" t="str">
        <f ca="1">VLOOKUP(C$1&amp;B13,'Hard Conds'!L:O,4,0)</f>
        <v>Use at least 3 Epic Champions</v>
      </c>
      <c r="D13" s="19" t="str">
        <f ca="1">VLOOKUP(C13,'Unique Conds'!A:B,2,0)</f>
        <v>Epics x3</v>
      </c>
      <c r="E13" s="3"/>
      <c r="F13" s="3"/>
      <c r="G13" s="13"/>
    </row>
    <row r="14" spans="2:7" x14ac:dyDescent="0.3">
      <c r="B14" s="5">
        <v>11</v>
      </c>
      <c r="C14" s="8" t="str">
        <f ca="1">VLOOKUP(C$1&amp;B14,'Hard Conds'!L:O,4,0)</f>
        <v>Manipulate Turn Meters 60+ times</v>
      </c>
      <c r="D14" s="19" t="str">
        <f ca="1">VLOOKUP(C14,'Unique Conds'!A:B,2,0)</f>
        <v>TM +/-</v>
      </c>
      <c r="E14" s="3"/>
      <c r="F14" s="3"/>
      <c r="G14" s="13"/>
    </row>
    <row r="15" spans="2:7" x14ac:dyDescent="0.3">
      <c r="B15" s="5">
        <v>12</v>
      </c>
      <c r="C15" s="8" t="str">
        <f ca="1">VLOOKUP(C$1&amp;B15,'Hard Conds'!L:O,4,0)</f>
        <v>Manipulate skill cooldowns 15+ times</v>
      </c>
      <c r="D15" s="19" t="str">
        <f ca="1">VLOOKUP(C15,'Unique Conds'!A:B,2,0)</f>
        <v>Cooldown +/-</v>
      </c>
      <c r="E15" s="3"/>
      <c r="F15" s="3"/>
      <c r="G15" s="13"/>
    </row>
    <row r="16" spans="2:7" x14ac:dyDescent="0.3">
      <c r="B16" s="5">
        <v>13</v>
      </c>
      <c r="C16" s="8" t="str">
        <f ca="1">VLOOKUP(C$1&amp;B16,'Hard Conds'!L:O,4,0)</f>
        <v>Manipulate buff or debuff duration 30+ times</v>
      </c>
      <c r="D16" s="19" t="str">
        <f ca="1">VLOOKUP(C16,'Unique Conds'!A:B,2,0)</f>
        <v>De/Buff +/-</v>
      </c>
      <c r="E16" s="3"/>
      <c r="F16" s="3"/>
      <c r="G16" s="13"/>
    </row>
    <row r="17" spans="2:7" x14ac:dyDescent="0.3">
      <c r="B17" s="23">
        <v>14</v>
      </c>
      <c r="C17" s="8" t="str">
        <f ca="1">VLOOKUP(C$1&amp;B17,'Hard Conds'!L:O,4,0)</f>
        <v>Clear in 150 turns</v>
      </c>
      <c r="D17" s="19" t="str">
        <f ca="1">VLOOKUP(C17,'Unique Conds'!A:B,2,0)</f>
        <v>Fast Kill</v>
      </c>
      <c r="E17" s="3"/>
      <c r="F17" s="3"/>
      <c r="G17" s="13"/>
    </row>
    <row r="18" spans="2:7" x14ac:dyDescent="0.3">
      <c r="B18" s="5">
        <v>15</v>
      </c>
      <c r="C18" s="8" t="str">
        <f ca="1">VLOOKUP(C$1&amp;B18,'Hard Conds'!L:O,4,0)</f>
        <v>Beat with all Champions alive at all times</v>
      </c>
      <c r="D18" s="19" t="str">
        <f ca="1">VLOOKUP(C18,'Unique Conds'!A:B,2,0)</f>
        <v>Healer/Shield/Block Damage</v>
      </c>
      <c r="E18" s="3"/>
      <c r="F18" s="3"/>
      <c r="G18" s="13"/>
    </row>
    <row r="19" spans="2:7" x14ac:dyDescent="0.3">
      <c r="B19" s="5">
        <v>16</v>
      </c>
      <c r="C19" s="8" t="str">
        <f ca="1">VLOOKUP(C$1&amp;B19,'Hard Conds'!L:O,4,0)</f>
        <v>Defeat 3+ using Ally Attack skills or counterattacks</v>
      </c>
      <c r="D19" s="19" t="str">
        <f ca="1">VLOOKUP(C19,'Unique Conds'!A:B,2,0)</f>
        <v>Ally/Counter</v>
      </c>
      <c r="E19" s="3"/>
      <c r="F19" s="3"/>
      <c r="G19" s="13"/>
    </row>
    <row r="20" spans="2:7" x14ac:dyDescent="0.3">
      <c r="B20" s="5">
        <v>17</v>
      </c>
      <c r="C20" s="8" t="str">
        <f ca="1">VLOOKUP(C$1&amp;B20,'Hard Conds'!L:O,4,0)</f>
        <v>Dont land any weak hits</v>
      </c>
      <c r="D20" s="19" t="str">
        <f ca="1">VLOOKUP(C20,'Unique Conds'!A:B,2,0)</f>
        <v>Affinity</v>
      </c>
      <c r="E20" s="3"/>
      <c r="F20" s="3"/>
      <c r="G20" s="13"/>
    </row>
    <row r="21" spans="2:7" x14ac:dyDescent="0.3">
      <c r="B21" s="5">
        <v>18</v>
      </c>
      <c r="C21" s="8" t="str">
        <f ca="1">VLOOKUP(C$1&amp;B21,'Hard Conds'!L:O,4,0)</f>
        <v>Place 4+ Taunt buffs</v>
      </c>
      <c r="D21" s="19" t="str">
        <f ca="1">VLOOKUP(C21,'Unique Conds'!A:B,2,0)</f>
        <v>Taunt</v>
      </c>
      <c r="E21" s="3"/>
      <c r="F21" s="3"/>
      <c r="G21" s="13"/>
    </row>
    <row r="22" spans="2:7" x14ac:dyDescent="0.3">
      <c r="B22" s="5">
        <v>19</v>
      </c>
      <c r="C22" s="8" t="str">
        <f ca="1">VLOOKUP(C$1&amp;B22,'Hard Conds'!L:O,4,0)</f>
        <v>Defeat 3+ while your Champions are under 7 or more buffs</v>
      </c>
      <c r="D22" s="19" t="str">
        <f ca="1">VLOOKUP(C22,'Unique Conds'!A:B,2,0)</f>
        <v>Buffer</v>
      </c>
      <c r="E22" s="3"/>
      <c r="F22" s="3"/>
      <c r="G22" s="13"/>
    </row>
    <row r="23" spans="2:7" x14ac:dyDescent="0.3">
      <c r="B23" s="5">
        <v>20</v>
      </c>
      <c r="C23" s="8" t="str">
        <f ca="1">VLOOKUP(C$1&amp;B23,'Hard Conds'!L:O,4,0)</f>
        <v>Keep all your Champions HP above 75%</v>
      </c>
      <c r="D23" s="19" t="str">
        <f ca="1">VLOOKUP(C23,'Unique Conds'!A:B,2,0)</f>
        <v>Healer/Shield/Block Damage</v>
      </c>
      <c r="E23" s="3"/>
      <c r="F23" s="3"/>
      <c r="G23" s="13"/>
    </row>
    <row r="24" spans="2:7" ht="15" thickBot="1" x14ac:dyDescent="0.35">
      <c r="B24" s="24">
        <v>21</v>
      </c>
      <c r="C24" s="6"/>
      <c r="D24" s="22"/>
      <c r="E24" s="9"/>
      <c r="F24" s="9"/>
      <c r="G24" s="10"/>
    </row>
  </sheetData>
  <mergeCells count="3">
    <mergeCell ref="B2:B3"/>
    <mergeCell ref="C2:C3"/>
    <mergeCell ref="D2:D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69700-6D5B-49BF-A1C5-1484D5AD35A7}">
  <sheetPr codeName="Sheet20"/>
  <dimension ref="A1:C16"/>
  <sheetViews>
    <sheetView workbookViewId="0">
      <selection activeCell="A2" sqref="A2:A16"/>
    </sheetView>
  </sheetViews>
  <sheetFormatPr defaultRowHeight="14.4" x14ac:dyDescent="0.3"/>
  <cols>
    <col min="1" max="1" width="6.109375" bestFit="1" customWidth="1"/>
    <col min="2" max="2" width="17.77734375" customWidth="1"/>
    <col min="3" max="3" width="30.5546875" customWidth="1"/>
    <col min="4" max="4" width="26.33203125" bestFit="1" customWidth="1"/>
  </cols>
  <sheetData>
    <row r="1" spans="1:3" x14ac:dyDescent="0.3">
      <c r="A1" t="s">
        <v>39</v>
      </c>
      <c r="B1" t="s">
        <v>38</v>
      </c>
      <c r="C1" t="s">
        <v>37</v>
      </c>
    </row>
    <row r="2" spans="1:3" x14ac:dyDescent="0.3">
      <c r="A2" t="s">
        <v>14</v>
      </c>
      <c r="B2" t="s">
        <v>36</v>
      </c>
      <c r="C2" t="s">
        <v>36</v>
      </c>
    </row>
    <row r="3" spans="1:3" x14ac:dyDescent="0.3">
      <c r="A3" t="s">
        <v>13</v>
      </c>
      <c r="B3" t="s">
        <v>35</v>
      </c>
      <c r="C3" t="s">
        <v>35</v>
      </c>
    </row>
    <row r="4" spans="1:3" x14ac:dyDescent="0.3">
      <c r="A4" t="s">
        <v>12</v>
      </c>
      <c r="B4" t="s">
        <v>34</v>
      </c>
      <c r="C4" t="s">
        <v>34</v>
      </c>
    </row>
    <row r="5" spans="1:3" x14ac:dyDescent="0.3">
      <c r="A5" t="s">
        <v>11</v>
      </c>
      <c r="B5" t="s">
        <v>33</v>
      </c>
      <c r="C5" t="s">
        <v>32</v>
      </c>
    </row>
    <row r="6" spans="1:3" x14ac:dyDescent="0.3">
      <c r="A6" t="s">
        <v>10</v>
      </c>
      <c r="B6" t="s">
        <v>31</v>
      </c>
      <c r="C6" t="s">
        <v>30</v>
      </c>
    </row>
    <row r="7" spans="1:3" x14ac:dyDescent="0.3">
      <c r="A7" t="s">
        <v>9</v>
      </c>
      <c r="B7" t="s">
        <v>29</v>
      </c>
      <c r="C7" t="s">
        <v>29</v>
      </c>
    </row>
    <row r="8" spans="1:3" x14ac:dyDescent="0.3">
      <c r="A8" t="s">
        <v>8</v>
      </c>
      <c r="B8" t="s">
        <v>28</v>
      </c>
      <c r="C8" t="s">
        <v>27</v>
      </c>
    </row>
    <row r="9" spans="1:3" x14ac:dyDescent="0.3">
      <c r="A9" t="s">
        <v>7</v>
      </c>
      <c r="B9" t="s">
        <v>26</v>
      </c>
      <c r="C9" t="s">
        <v>26</v>
      </c>
    </row>
    <row r="10" spans="1:3" x14ac:dyDescent="0.3">
      <c r="A10" t="s">
        <v>6</v>
      </c>
      <c r="B10" t="s">
        <v>25</v>
      </c>
      <c r="C10" t="s">
        <v>24</v>
      </c>
    </row>
    <row r="11" spans="1:3" x14ac:dyDescent="0.3">
      <c r="A11" t="s">
        <v>5</v>
      </c>
      <c r="B11" t="s">
        <v>23</v>
      </c>
      <c r="C11" t="s">
        <v>22</v>
      </c>
    </row>
    <row r="12" spans="1:3" x14ac:dyDescent="0.3">
      <c r="A12" t="s">
        <v>4</v>
      </c>
      <c r="B12" t="s">
        <v>21</v>
      </c>
      <c r="C12" t="s">
        <v>21</v>
      </c>
    </row>
    <row r="13" spans="1:3" x14ac:dyDescent="0.3">
      <c r="A13" t="s">
        <v>3</v>
      </c>
      <c r="B13" t="s">
        <v>20</v>
      </c>
      <c r="C13" t="s">
        <v>19</v>
      </c>
    </row>
    <row r="14" spans="1:3" x14ac:dyDescent="0.3">
      <c r="A14" t="s">
        <v>2</v>
      </c>
      <c r="B14" t="s">
        <v>18</v>
      </c>
      <c r="C14" t="s">
        <v>18</v>
      </c>
    </row>
    <row r="15" spans="1:3" x14ac:dyDescent="0.3">
      <c r="A15" t="s">
        <v>1</v>
      </c>
      <c r="B15" t="s">
        <v>17</v>
      </c>
      <c r="C15" t="s">
        <v>17</v>
      </c>
    </row>
    <row r="16" spans="1:3" x14ac:dyDescent="0.3">
      <c r="A16" t="s">
        <v>0</v>
      </c>
      <c r="B16" t="s">
        <v>16</v>
      </c>
      <c r="C16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Factions</vt:lpstr>
      <vt:lpstr>Hard Conds</vt:lpstr>
      <vt:lpstr>Unique Conds</vt:lpstr>
      <vt:lpstr>Template</vt:lpstr>
      <vt:lpstr>BL</vt:lpstr>
      <vt:lpstr>HE</vt:lpstr>
      <vt:lpstr>SO</vt:lpstr>
      <vt:lpstr>BA</vt:lpstr>
      <vt:lpstr>OT</vt:lpstr>
      <vt:lpstr>LZ</vt:lpstr>
      <vt:lpstr>SW</vt:lpstr>
      <vt:lpstr>OR</vt:lpstr>
      <vt:lpstr>DS</vt:lpstr>
      <vt:lpstr>UH</vt:lpstr>
      <vt:lpstr>DE</vt:lpstr>
      <vt:lpstr>KR</vt:lpstr>
      <vt:lpstr>DW</vt:lpstr>
      <vt:lpstr>SK</vt:lpstr>
      <vt:lpstr>SY</vt:lpstr>
      <vt:lpstr>Faction Rares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Saujani Admin</dc:creator>
  <cp:lastModifiedBy>Saujani Admin</cp:lastModifiedBy>
  <dcterms:created xsi:type="dcterms:W3CDTF">2025-05-10T13:09:17Z</dcterms:created>
  <dcterms:modified xsi:type="dcterms:W3CDTF">2025-05-11T21:52:51Z</dcterms:modified>
</cp:coreProperties>
</file>